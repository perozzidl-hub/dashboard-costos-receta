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-dperozzi\Downloads\"/>
    </mc:Choice>
  </mc:AlternateContent>
  <xr:revisionPtr revIDLastSave="0" documentId="8_{73D4EB85-6F5D-4D41-959D-D2F73CE273B7}" xr6:coauthVersionLast="47" xr6:coauthVersionMax="47" xr10:uidLastSave="{00000000-0000-0000-0000-000000000000}"/>
  <bookViews>
    <workbookView xWindow="-120" yWindow="-120" windowWidth="29040" windowHeight="15720" xr2:uid="{D2AAD3A8-CB8C-4FAC-AADB-745DAD38FE31}"/>
  </bookViews>
  <sheets>
    <sheet name="TEORICOS (05.26)" sheetId="1" r:id="rId1"/>
  </sheets>
  <definedNames>
    <definedName name="_xlnm._FilterDatabase" localSheetId="0" hidden="1">'TEORICOS (05.26)'!$A$7:$AX$246</definedName>
    <definedName name="_Order1" hidden="1">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246" i="1" l="1"/>
  <c r="R246" i="1"/>
  <c r="AT246" i="1" s="1"/>
  <c r="N246" i="1"/>
  <c r="O246" i="1" s="1"/>
  <c r="AS245" i="1"/>
  <c r="R245" i="1"/>
  <c r="AT245" i="1" s="1"/>
  <c r="N245" i="1"/>
  <c r="O245" i="1" s="1"/>
  <c r="AS244" i="1"/>
  <c r="R244" i="1"/>
  <c r="AT244" i="1" s="1"/>
  <c r="N244" i="1"/>
  <c r="O244" i="1" s="1"/>
  <c r="AS243" i="1"/>
  <c r="R243" i="1"/>
  <c r="AT243" i="1" s="1"/>
  <c r="N243" i="1"/>
  <c r="O243" i="1" s="1"/>
  <c r="CB242" i="1"/>
  <c r="R242" i="1"/>
  <c r="N242" i="1"/>
  <c r="O242" i="1" s="1"/>
  <c r="BA241" i="1"/>
  <c r="AZ241" i="1"/>
  <c r="AX241" i="1"/>
  <c r="AW241" i="1"/>
  <c r="AV241" i="1"/>
  <c r="AU241" i="1"/>
  <c r="AR241" i="1"/>
  <c r="AQ241" i="1"/>
  <c r="AP241" i="1"/>
  <c r="AO241" i="1"/>
  <c r="AN241" i="1"/>
  <c r="AM241" i="1"/>
  <c r="AL241" i="1"/>
  <c r="AJ241" i="1"/>
  <c r="AI241" i="1"/>
  <c r="AF241" i="1"/>
  <c r="AE241" i="1"/>
  <c r="AD241" i="1"/>
  <c r="AC241" i="1"/>
  <c r="AB241" i="1"/>
  <c r="AA241" i="1"/>
  <c r="Z241" i="1"/>
  <c r="Y241" i="1"/>
  <c r="V241" i="1"/>
  <c r="U241" i="1"/>
  <c r="R241" i="1"/>
  <c r="N241" i="1"/>
  <c r="O241" i="1" s="1"/>
  <c r="BA240" i="1"/>
  <c r="AZ240" i="1"/>
  <c r="AX240" i="1"/>
  <c r="AV240" i="1"/>
  <c r="AR240" i="1"/>
  <c r="AP240" i="1"/>
  <c r="AN240" i="1"/>
  <c r="AL240" i="1"/>
  <c r="AJ240" i="1"/>
  <c r="AF240" i="1"/>
  <c r="AD240" i="1"/>
  <c r="AB240" i="1"/>
  <c r="Z240" i="1"/>
  <c r="X240" i="1"/>
  <c r="V240" i="1"/>
  <c r="R240" i="1"/>
  <c r="N240" i="1"/>
  <c r="O240" i="1" s="1"/>
  <c r="CB239" i="1"/>
  <c r="R239" i="1"/>
  <c r="N239" i="1"/>
  <c r="O239" i="1" s="1"/>
  <c r="R238" i="1"/>
  <c r="N238" i="1"/>
  <c r="O238" i="1" s="1"/>
  <c r="R237" i="1"/>
  <c r="N237" i="1"/>
  <c r="O237" i="1" s="1"/>
  <c r="R236" i="1"/>
  <c r="N236" i="1"/>
  <c r="O236" i="1" s="1"/>
  <c r="R235" i="1"/>
  <c r="N235" i="1"/>
  <c r="O235" i="1" s="1"/>
  <c r="R234" i="1"/>
  <c r="N234" i="1"/>
  <c r="O234" i="1" s="1"/>
  <c r="R233" i="1"/>
  <c r="N233" i="1"/>
  <c r="O233" i="1" s="1"/>
  <c r="R232" i="1"/>
  <c r="N232" i="1"/>
  <c r="O232" i="1" s="1"/>
  <c r="AQ231" i="1"/>
  <c r="AP231" i="1"/>
  <c r="AO231" i="1"/>
  <c r="AM231" i="1"/>
  <c r="AF231" i="1"/>
  <c r="AE231" i="1"/>
  <c r="AD231" i="1"/>
  <c r="AB231" i="1"/>
  <c r="AA231" i="1"/>
  <c r="X231" i="1"/>
  <c r="W231" i="1"/>
  <c r="V231" i="1"/>
  <c r="R231" i="1"/>
  <c r="N231" i="1"/>
  <c r="O231" i="1" s="1"/>
  <c r="AQ230" i="1"/>
  <c r="AP230" i="1"/>
  <c r="AO230" i="1"/>
  <c r="AM230" i="1"/>
  <c r="AF230" i="1"/>
  <c r="AE230" i="1"/>
  <c r="AD230" i="1"/>
  <c r="AB230" i="1"/>
  <c r="AA230" i="1"/>
  <c r="X230" i="1"/>
  <c r="W230" i="1"/>
  <c r="V230" i="1"/>
  <c r="R230" i="1"/>
  <c r="N230" i="1"/>
  <c r="O230" i="1" s="1"/>
  <c r="R229" i="1"/>
  <c r="N229" i="1"/>
  <c r="O229" i="1" s="1"/>
  <c r="R228" i="1"/>
  <c r="N228" i="1"/>
  <c r="O228" i="1" s="1"/>
  <c r="R227" i="1"/>
  <c r="N227" i="1"/>
  <c r="O227" i="1" s="1"/>
  <c r="R226" i="1"/>
  <c r="N226" i="1"/>
  <c r="O226" i="1" s="1"/>
  <c r="R225" i="1"/>
  <c r="N225" i="1"/>
  <c r="O225" i="1" s="1"/>
  <c r="R224" i="1"/>
  <c r="N224" i="1"/>
  <c r="O224" i="1" s="1"/>
  <c r="R223" i="1"/>
  <c r="N223" i="1"/>
  <c r="O223" i="1" s="1"/>
  <c r="R222" i="1"/>
  <c r="N222" i="1"/>
  <c r="O222" i="1" s="1"/>
  <c r="R221" i="1"/>
  <c r="N221" i="1"/>
  <c r="O221" i="1" s="1"/>
  <c r="R220" i="1"/>
  <c r="N220" i="1"/>
  <c r="O220" i="1" s="1"/>
  <c r="R219" i="1"/>
  <c r="N219" i="1"/>
  <c r="O219" i="1" s="1"/>
  <c r="R218" i="1"/>
  <c r="N218" i="1"/>
  <c r="O218" i="1" s="1"/>
  <c r="R217" i="1"/>
  <c r="N217" i="1"/>
  <c r="O217" i="1" s="1"/>
  <c r="R216" i="1"/>
  <c r="N216" i="1"/>
  <c r="O216" i="1" s="1"/>
  <c r="R215" i="1"/>
  <c r="N215" i="1"/>
  <c r="O215" i="1" s="1"/>
  <c r="R214" i="1"/>
  <c r="N214" i="1"/>
  <c r="O214" i="1" s="1"/>
  <c r="R213" i="1"/>
  <c r="N213" i="1"/>
  <c r="O213" i="1" s="1"/>
  <c r="R212" i="1"/>
  <c r="N212" i="1"/>
  <c r="O212" i="1" s="1"/>
  <c r="R211" i="1"/>
  <c r="N211" i="1"/>
  <c r="O211" i="1" s="1"/>
  <c r="R210" i="1"/>
  <c r="N210" i="1"/>
  <c r="O210" i="1" s="1"/>
  <c r="R209" i="1"/>
  <c r="N209" i="1"/>
  <c r="O209" i="1" s="1"/>
  <c r="R208" i="1"/>
  <c r="N208" i="1"/>
  <c r="O208" i="1" s="1"/>
  <c r="R207" i="1"/>
  <c r="N207" i="1"/>
  <c r="O207" i="1" s="1"/>
  <c r="R206" i="1"/>
  <c r="N206" i="1"/>
  <c r="O206" i="1" s="1"/>
  <c r="CB205" i="1"/>
  <c r="R205" i="1"/>
  <c r="AT205" i="1" s="1"/>
  <c r="N205" i="1"/>
  <c r="O205" i="1" s="1"/>
  <c r="CB204" i="1"/>
  <c r="AS204" i="1"/>
  <c r="R204" i="1"/>
  <c r="AT204" i="1" s="1"/>
  <c r="N204" i="1"/>
  <c r="O204" i="1" s="1"/>
  <c r="CB203" i="1"/>
  <c r="CB202" i="1"/>
  <c r="R202" i="1"/>
  <c r="N202" i="1"/>
  <c r="O202" i="1" s="1"/>
  <c r="CB201" i="1"/>
  <c r="AS201" i="1"/>
  <c r="R201" i="1"/>
  <c r="AT201" i="1" s="1"/>
  <c r="N201" i="1"/>
  <c r="O201" i="1" s="1"/>
  <c r="CB200" i="1"/>
  <c r="AS200" i="1"/>
  <c r="R200" i="1"/>
  <c r="AT200" i="1" s="1"/>
  <c r="N200" i="1"/>
  <c r="O200" i="1" s="1"/>
  <c r="CB199" i="1"/>
  <c r="AS199" i="1"/>
  <c r="R199" i="1"/>
  <c r="AT199" i="1" s="1"/>
  <c r="N199" i="1"/>
  <c r="O199" i="1" s="1"/>
  <c r="CB198" i="1"/>
  <c r="AS198" i="1"/>
  <c r="R198" i="1"/>
  <c r="AT198" i="1" s="1"/>
  <c r="N198" i="1"/>
  <c r="O198" i="1" s="1"/>
  <c r="CB197" i="1"/>
  <c r="AS197" i="1"/>
  <c r="R197" i="1"/>
  <c r="AT197" i="1" s="1"/>
  <c r="N197" i="1"/>
  <c r="O197" i="1" s="1"/>
  <c r="CB196" i="1"/>
  <c r="AS196" i="1"/>
  <c r="R196" i="1"/>
  <c r="AT196" i="1" s="1"/>
  <c r="N196" i="1"/>
  <c r="O196" i="1" s="1"/>
  <c r="CB195" i="1"/>
  <c r="R195" i="1"/>
  <c r="N195" i="1"/>
  <c r="O195" i="1" s="1"/>
  <c r="CB194" i="1"/>
  <c r="AS194" i="1"/>
  <c r="R194" i="1"/>
  <c r="AT194" i="1" s="1"/>
  <c r="N194" i="1"/>
  <c r="O194" i="1" s="1"/>
  <c r="CB193" i="1"/>
  <c r="AS193" i="1"/>
  <c r="R193" i="1"/>
  <c r="AT193" i="1" s="1"/>
  <c r="N193" i="1"/>
  <c r="O193" i="1" s="1"/>
  <c r="CB192" i="1"/>
  <c r="AS192" i="1"/>
  <c r="R192" i="1"/>
  <c r="AT192" i="1" s="1"/>
  <c r="N192" i="1"/>
  <c r="O192" i="1" s="1"/>
  <c r="CB191" i="1"/>
  <c r="AS191" i="1"/>
  <c r="R191" i="1"/>
  <c r="AT191" i="1" s="1"/>
  <c r="N191" i="1"/>
  <c r="O191" i="1" s="1"/>
  <c r="CB190" i="1"/>
  <c r="R190" i="1"/>
  <c r="N190" i="1"/>
  <c r="O190" i="1" s="1"/>
  <c r="CB189" i="1"/>
  <c r="AS189" i="1"/>
  <c r="R189" i="1"/>
  <c r="AT189" i="1" s="1"/>
  <c r="N189" i="1"/>
  <c r="O189" i="1" s="1"/>
  <c r="CB188" i="1"/>
  <c r="R188" i="1"/>
  <c r="N188" i="1"/>
  <c r="O188" i="1" s="1"/>
  <c r="CB187" i="1"/>
  <c r="R187" i="1"/>
  <c r="N187" i="1"/>
  <c r="O187" i="1" s="1"/>
  <c r="CB186" i="1"/>
  <c r="R186" i="1"/>
  <c r="N186" i="1"/>
  <c r="O186" i="1" s="1"/>
  <c r="CB185" i="1"/>
  <c r="AS185" i="1"/>
  <c r="R185" i="1"/>
  <c r="AT185" i="1" s="1"/>
  <c r="N185" i="1"/>
  <c r="O185" i="1" s="1"/>
  <c r="CB184" i="1"/>
  <c r="AS184" i="1"/>
  <c r="R184" i="1"/>
  <c r="AT184" i="1" s="1"/>
  <c r="N184" i="1"/>
  <c r="O184" i="1" s="1"/>
  <c r="CB183" i="1"/>
  <c r="R183" i="1"/>
  <c r="N183" i="1"/>
  <c r="O183" i="1" s="1"/>
  <c r="CB182" i="1"/>
  <c r="R182" i="1"/>
  <c r="N182" i="1"/>
  <c r="O182" i="1" s="1"/>
  <c r="CB181" i="1"/>
  <c r="R181" i="1"/>
  <c r="N181" i="1"/>
  <c r="O181" i="1" s="1"/>
  <c r="CB180" i="1"/>
  <c r="R180" i="1"/>
  <c r="N180" i="1"/>
  <c r="O180" i="1" s="1"/>
  <c r="CB179" i="1"/>
  <c r="R179" i="1"/>
  <c r="N179" i="1"/>
  <c r="O179" i="1" s="1"/>
  <c r="CB178" i="1"/>
  <c r="R178" i="1"/>
  <c r="N178" i="1"/>
  <c r="O178" i="1" s="1"/>
  <c r="CB177" i="1"/>
  <c r="R177" i="1"/>
  <c r="N177" i="1"/>
  <c r="O177" i="1" s="1"/>
  <c r="CB176" i="1"/>
  <c r="R176" i="1"/>
  <c r="N176" i="1"/>
  <c r="O176" i="1" s="1"/>
  <c r="CB175" i="1"/>
  <c r="R175" i="1"/>
  <c r="N175" i="1"/>
  <c r="O175" i="1" s="1"/>
  <c r="CB174" i="1"/>
  <c r="R174" i="1"/>
  <c r="N174" i="1"/>
  <c r="O174" i="1" s="1"/>
  <c r="CB173" i="1"/>
  <c r="R173" i="1"/>
  <c r="N173" i="1"/>
  <c r="O173" i="1" s="1"/>
  <c r="CB172" i="1"/>
  <c r="R172" i="1"/>
  <c r="N172" i="1"/>
  <c r="O172" i="1" s="1"/>
  <c r="CB171" i="1"/>
  <c r="R171" i="1"/>
  <c r="N171" i="1"/>
  <c r="O171" i="1" s="1"/>
  <c r="CB170" i="1"/>
  <c r="R170" i="1"/>
  <c r="N170" i="1"/>
  <c r="O170" i="1" s="1"/>
  <c r="CB169" i="1"/>
  <c r="R169" i="1"/>
  <c r="N169" i="1"/>
  <c r="O169" i="1" s="1"/>
  <c r="CB168" i="1"/>
  <c r="R168" i="1"/>
  <c r="N168" i="1"/>
  <c r="O168" i="1" s="1"/>
  <c r="CB167" i="1"/>
  <c r="R167" i="1"/>
  <c r="N167" i="1"/>
  <c r="O167" i="1" s="1"/>
  <c r="CB166" i="1"/>
  <c r="R166" i="1"/>
  <c r="N166" i="1"/>
  <c r="O166" i="1" s="1"/>
  <c r="H166" i="1"/>
  <c r="I166" i="1" s="1"/>
  <c r="CB165" i="1"/>
  <c r="R165" i="1"/>
  <c r="N165" i="1"/>
  <c r="O165" i="1" s="1"/>
  <c r="CB164" i="1"/>
  <c r="R164" i="1"/>
  <c r="N164" i="1"/>
  <c r="O164" i="1" s="1"/>
  <c r="CB163" i="1"/>
  <c r="AS163" i="1"/>
  <c r="R163" i="1"/>
  <c r="AT163" i="1" s="1"/>
  <c r="N163" i="1"/>
  <c r="O163" i="1" s="1"/>
  <c r="CB162" i="1"/>
  <c r="AS162" i="1"/>
  <c r="R162" i="1"/>
  <c r="AT162" i="1" s="1"/>
  <c r="N162" i="1"/>
  <c r="O162" i="1" s="1"/>
  <c r="CB161" i="1"/>
  <c r="AS161" i="1"/>
  <c r="R161" i="1"/>
  <c r="AT161" i="1" s="1"/>
  <c r="N161" i="1"/>
  <c r="O161" i="1" s="1"/>
  <c r="CB160" i="1"/>
  <c r="R160" i="1"/>
  <c r="N160" i="1"/>
  <c r="O160" i="1" s="1"/>
  <c r="CB159" i="1"/>
  <c r="AS159" i="1"/>
  <c r="R159" i="1"/>
  <c r="AT159" i="1" s="1"/>
  <c r="N159" i="1"/>
  <c r="O159" i="1" s="1"/>
  <c r="CB158" i="1"/>
  <c r="AS158" i="1"/>
  <c r="AS232" i="1" s="1"/>
  <c r="R158" i="1"/>
  <c r="AT158" i="1" s="1"/>
  <c r="N158" i="1"/>
  <c r="O158" i="1" s="1"/>
  <c r="CB157" i="1"/>
  <c r="AS157" i="1"/>
  <c r="AS231" i="1" s="1"/>
  <c r="R157" i="1"/>
  <c r="AT157" i="1" s="1"/>
  <c r="N157" i="1"/>
  <c r="O157" i="1" s="1"/>
  <c r="CB156" i="1"/>
  <c r="AS156" i="1"/>
  <c r="AS230" i="1" s="1"/>
  <c r="R156" i="1"/>
  <c r="AT156" i="1" s="1"/>
  <c r="N156" i="1"/>
  <c r="O156" i="1" s="1"/>
  <c r="CB155" i="1"/>
  <c r="AS155" i="1"/>
  <c r="R155" i="1"/>
  <c r="AT155" i="1" s="1"/>
  <c r="N155" i="1"/>
  <c r="O155" i="1" s="1"/>
  <c r="CB154" i="1"/>
  <c r="AS154" i="1"/>
  <c r="R154" i="1"/>
  <c r="AT154" i="1" s="1"/>
  <c r="N154" i="1"/>
  <c r="O154" i="1" s="1"/>
  <c r="CB153" i="1"/>
  <c r="AS153" i="1"/>
  <c r="R153" i="1"/>
  <c r="AT153" i="1" s="1"/>
  <c r="N153" i="1"/>
  <c r="O153" i="1" s="1"/>
  <c r="CB152" i="1"/>
  <c r="AS152" i="1"/>
  <c r="R152" i="1"/>
  <c r="AT152" i="1" s="1"/>
  <c r="N152" i="1"/>
  <c r="O152" i="1" s="1"/>
  <c r="CB151" i="1"/>
  <c r="AS151" i="1"/>
  <c r="R151" i="1"/>
  <c r="AT151" i="1" s="1"/>
  <c r="N151" i="1"/>
  <c r="O151" i="1" s="1"/>
  <c r="CB150" i="1"/>
  <c r="AS150" i="1"/>
  <c r="R150" i="1"/>
  <c r="AT150" i="1" s="1"/>
  <c r="N150" i="1"/>
  <c r="O150" i="1" s="1"/>
  <c r="CB149" i="1"/>
  <c r="AS149" i="1"/>
  <c r="R149" i="1"/>
  <c r="AT149" i="1" s="1"/>
  <c r="N149" i="1"/>
  <c r="O149" i="1" s="1"/>
  <c r="CB148" i="1"/>
  <c r="R148" i="1"/>
  <c r="N148" i="1"/>
  <c r="O148" i="1" s="1"/>
  <c r="CB147" i="1"/>
  <c r="R147" i="1"/>
  <c r="N147" i="1"/>
  <c r="O147" i="1" s="1"/>
  <c r="CB146" i="1"/>
  <c r="R146" i="1"/>
  <c r="AT146" i="1" s="1"/>
  <c r="N146" i="1"/>
  <c r="O146" i="1" s="1"/>
  <c r="CB145" i="1"/>
  <c r="R145" i="1"/>
  <c r="N145" i="1"/>
  <c r="O145" i="1" s="1"/>
  <c r="CB144" i="1"/>
  <c r="R144" i="1"/>
  <c r="N144" i="1"/>
  <c r="O144" i="1" s="1"/>
  <c r="CB143" i="1"/>
  <c r="R143" i="1"/>
  <c r="N143" i="1"/>
  <c r="O143" i="1" s="1"/>
  <c r="CB142" i="1"/>
  <c r="AS142" i="1"/>
  <c r="R142" i="1"/>
  <c r="AT142" i="1" s="1"/>
  <c r="N142" i="1"/>
  <c r="O142" i="1" s="1"/>
  <c r="CB141" i="1"/>
  <c r="AS141" i="1"/>
  <c r="R141" i="1"/>
  <c r="AT141" i="1" s="1"/>
  <c r="N141" i="1"/>
  <c r="O141" i="1" s="1"/>
  <c r="CB140" i="1"/>
  <c r="AS140" i="1"/>
  <c r="R140" i="1"/>
  <c r="AT140" i="1" s="1"/>
  <c r="N140" i="1"/>
  <c r="O140" i="1" s="1"/>
  <c r="CB139" i="1"/>
  <c r="AS139" i="1"/>
  <c r="R139" i="1"/>
  <c r="AT139" i="1" s="1"/>
  <c r="N139" i="1"/>
  <c r="O139" i="1" s="1"/>
  <c r="CB138" i="1"/>
  <c r="AS138" i="1"/>
  <c r="R138" i="1"/>
  <c r="AT138" i="1" s="1"/>
  <c r="N138" i="1"/>
  <c r="O138" i="1" s="1"/>
  <c r="CB137" i="1"/>
  <c r="AS137" i="1"/>
  <c r="R137" i="1"/>
  <c r="AT137" i="1" s="1"/>
  <c r="N137" i="1"/>
  <c r="O137" i="1" s="1"/>
  <c r="CB136" i="1"/>
  <c r="AS136" i="1"/>
  <c r="R136" i="1"/>
  <c r="AT136" i="1" s="1"/>
  <c r="N136" i="1"/>
  <c r="O136" i="1" s="1"/>
  <c r="CB135" i="1"/>
  <c r="AS135" i="1"/>
  <c r="R135" i="1"/>
  <c r="AT135" i="1" s="1"/>
  <c r="N135" i="1"/>
  <c r="O135" i="1" s="1"/>
  <c r="CB134" i="1"/>
  <c r="AS134" i="1"/>
  <c r="R134" i="1"/>
  <c r="AT134" i="1" s="1"/>
  <c r="N134" i="1"/>
  <c r="O134" i="1" s="1"/>
  <c r="CB133" i="1"/>
  <c r="AS133" i="1"/>
  <c r="R133" i="1"/>
  <c r="AT133" i="1" s="1"/>
  <c r="N133" i="1"/>
  <c r="O133" i="1" s="1"/>
  <c r="CB132" i="1"/>
  <c r="AS132" i="1"/>
  <c r="R132" i="1"/>
  <c r="AT132" i="1" s="1"/>
  <c r="N132" i="1"/>
  <c r="O132" i="1" s="1"/>
  <c r="CB131" i="1"/>
  <c r="AS131" i="1"/>
  <c r="R131" i="1"/>
  <c r="AT131" i="1" s="1"/>
  <c r="N131" i="1"/>
  <c r="O131" i="1" s="1"/>
  <c r="CB130" i="1"/>
  <c r="AS130" i="1"/>
  <c r="R130" i="1"/>
  <c r="AT130" i="1" s="1"/>
  <c r="N130" i="1"/>
  <c r="O130" i="1" s="1"/>
  <c r="CB129" i="1"/>
  <c r="AS129" i="1"/>
  <c r="R129" i="1"/>
  <c r="AT129" i="1" s="1"/>
  <c r="N129" i="1"/>
  <c r="O129" i="1" s="1"/>
  <c r="CB128" i="1"/>
  <c r="AS128" i="1"/>
  <c r="R128" i="1"/>
  <c r="AT128" i="1" s="1"/>
  <c r="N128" i="1"/>
  <c r="O128" i="1" s="1"/>
  <c r="CB127" i="1"/>
  <c r="AS127" i="1"/>
  <c r="R127" i="1"/>
  <c r="AT127" i="1" s="1"/>
  <c r="N127" i="1"/>
  <c r="O127" i="1" s="1"/>
  <c r="CB126" i="1"/>
  <c r="AS126" i="1"/>
  <c r="R126" i="1"/>
  <c r="AT126" i="1" s="1"/>
  <c r="N126" i="1"/>
  <c r="O126" i="1" s="1"/>
  <c r="CB125" i="1"/>
  <c r="AS125" i="1"/>
  <c r="R125" i="1"/>
  <c r="AT125" i="1" s="1"/>
  <c r="N125" i="1"/>
  <c r="O125" i="1" s="1"/>
  <c r="CB124" i="1"/>
  <c r="AS124" i="1"/>
  <c r="R124" i="1"/>
  <c r="AT124" i="1" s="1"/>
  <c r="N124" i="1"/>
  <c r="O124" i="1" s="1"/>
  <c r="CB123" i="1"/>
  <c r="AS123" i="1"/>
  <c r="R123" i="1"/>
  <c r="AT123" i="1" s="1"/>
  <c r="N123" i="1"/>
  <c r="O123" i="1" s="1"/>
  <c r="CB122" i="1"/>
  <c r="R122" i="1"/>
  <c r="N122" i="1"/>
  <c r="O122" i="1" s="1"/>
  <c r="CB121" i="1"/>
  <c r="R121" i="1"/>
  <c r="N121" i="1"/>
  <c r="O121" i="1" s="1"/>
  <c r="CB120" i="1"/>
  <c r="R120" i="1"/>
  <c r="N120" i="1"/>
  <c r="O120" i="1" s="1"/>
  <c r="CB119" i="1"/>
  <c r="AS119" i="1"/>
  <c r="R119" i="1"/>
  <c r="AT119" i="1" s="1"/>
  <c r="N119" i="1"/>
  <c r="O119" i="1" s="1"/>
  <c r="CB118" i="1"/>
  <c r="AS118" i="1"/>
  <c r="R118" i="1"/>
  <c r="AT118" i="1" s="1"/>
  <c r="N118" i="1"/>
  <c r="O118" i="1" s="1"/>
  <c r="CB117" i="1"/>
  <c r="R117" i="1"/>
  <c r="N117" i="1"/>
  <c r="O117" i="1" s="1"/>
  <c r="CB116" i="1"/>
  <c r="N116" i="1"/>
  <c r="O116" i="1" s="1"/>
  <c r="CB115" i="1"/>
  <c r="AS115" i="1"/>
  <c r="R115" i="1"/>
  <c r="AT115" i="1" s="1"/>
  <c r="N115" i="1"/>
  <c r="O115" i="1" s="1"/>
  <c r="CB114" i="1"/>
  <c r="AS114" i="1"/>
  <c r="R114" i="1"/>
  <c r="AT114" i="1" s="1"/>
  <c r="N114" i="1"/>
  <c r="O114" i="1" s="1"/>
  <c r="CB113" i="1"/>
  <c r="AS113" i="1"/>
  <c r="R113" i="1"/>
  <c r="AT113" i="1" s="1"/>
  <c r="N113" i="1"/>
  <c r="O113" i="1" s="1"/>
  <c r="CB112" i="1"/>
  <c r="AS112" i="1"/>
  <c r="R112" i="1"/>
  <c r="AT112" i="1" s="1"/>
  <c r="N112" i="1"/>
  <c r="O112" i="1" s="1"/>
  <c r="CB111" i="1"/>
  <c r="R111" i="1"/>
  <c r="N111" i="1"/>
  <c r="O111" i="1" s="1"/>
  <c r="CB110" i="1"/>
  <c r="R110" i="1"/>
  <c r="N110" i="1"/>
  <c r="O110" i="1" s="1"/>
  <c r="CB109" i="1"/>
  <c r="R109" i="1"/>
  <c r="N109" i="1"/>
  <c r="O109" i="1" s="1"/>
  <c r="CB108" i="1"/>
  <c r="R108" i="1"/>
  <c r="N108" i="1"/>
  <c r="O108" i="1" s="1"/>
  <c r="CB107" i="1"/>
  <c r="R107" i="1"/>
  <c r="N107" i="1"/>
  <c r="O107" i="1" s="1"/>
  <c r="CB106" i="1"/>
  <c r="R106" i="1"/>
  <c r="N106" i="1"/>
  <c r="O106" i="1" s="1"/>
  <c r="CB105" i="1"/>
  <c r="AS105" i="1"/>
  <c r="AP105" i="1"/>
  <c r="AO105" i="1"/>
  <c r="Z105" i="1"/>
  <c r="X105" i="1"/>
  <c r="S105" i="1"/>
  <c r="R105" i="1"/>
  <c r="N105" i="1"/>
  <c r="O105" i="1" s="1"/>
  <c r="CB104" i="1"/>
  <c r="R104" i="1"/>
  <c r="N104" i="1"/>
  <c r="O104" i="1" s="1"/>
  <c r="CB103" i="1"/>
  <c r="R103" i="1"/>
  <c r="N103" i="1"/>
  <c r="O103" i="1" s="1"/>
  <c r="CB102" i="1"/>
  <c r="R102" i="1"/>
  <c r="N102" i="1"/>
  <c r="O102" i="1" s="1"/>
  <c r="CB101" i="1"/>
  <c r="AS101" i="1"/>
  <c r="R101" i="1"/>
  <c r="AT101" i="1" s="1"/>
  <c r="N101" i="1"/>
  <c r="O101" i="1" s="1"/>
  <c r="CB100" i="1"/>
  <c r="AS100" i="1"/>
  <c r="AS241" i="1" s="1"/>
  <c r="R100" i="1"/>
  <c r="AT100" i="1" s="1"/>
  <c r="AT241" i="1" s="1"/>
  <c r="N100" i="1"/>
  <c r="O100" i="1" s="1"/>
  <c r="CB99" i="1"/>
  <c r="AS99" i="1"/>
  <c r="R99" i="1"/>
  <c r="AT99" i="1" s="1"/>
  <c r="AT240" i="1" s="1"/>
  <c r="N99" i="1"/>
  <c r="O99" i="1" s="1"/>
  <c r="CB98" i="1"/>
  <c r="AS98" i="1"/>
  <c r="R98" i="1"/>
  <c r="AT98" i="1" s="1"/>
  <c r="N98" i="1"/>
  <c r="O98" i="1" s="1"/>
  <c r="CB97" i="1"/>
  <c r="R97" i="1"/>
  <c r="N97" i="1"/>
  <c r="O97" i="1" s="1"/>
  <c r="CB96" i="1"/>
  <c r="R96" i="1"/>
  <c r="N96" i="1"/>
  <c r="O96" i="1" s="1"/>
  <c r="CB95" i="1"/>
  <c r="AS95" i="1"/>
  <c r="R95" i="1"/>
  <c r="AT95" i="1" s="1"/>
  <c r="N95" i="1"/>
  <c r="O95" i="1" s="1"/>
  <c r="CB94" i="1"/>
  <c r="AS94" i="1"/>
  <c r="R94" i="1"/>
  <c r="AT94" i="1" s="1"/>
  <c r="N94" i="1"/>
  <c r="O94" i="1" s="1"/>
  <c r="CB93" i="1"/>
  <c r="AS93" i="1"/>
  <c r="R93" i="1"/>
  <c r="AT93" i="1" s="1"/>
  <c r="N93" i="1"/>
  <c r="O93" i="1" s="1"/>
  <c r="CB92" i="1"/>
  <c r="R92" i="1"/>
  <c r="N92" i="1"/>
  <c r="O92" i="1" s="1"/>
  <c r="CB91" i="1"/>
  <c r="R91" i="1"/>
  <c r="N91" i="1"/>
  <c r="O91" i="1" s="1"/>
  <c r="CB90" i="1"/>
  <c r="R90" i="1"/>
  <c r="N90" i="1"/>
  <c r="O90" i="1" s="1"/>
  <c r="CB89" i="1"/>
  <c r="R89" i="1"/>
  <c r="N89" i="1"/>
  <c r="O89" i="1" s="1"/>
  <c r="CB88" i="1"/>
  <c r="R88" i="1"/>
  <c r="N88" i="1"/>
  <c r="O88" i="1" s="1"/>
  <c r="CB87" i="1"/>
  <c r="R87" i="1"/>
  <c r="N87" i="1"/>
  <c r="O87" i="1" s="1"/>
  <c r="CB86" i="1"/>
  <c r="R86" i="1"/>
  <c r="N86" i="1"/>
  <c r="O86" i="1" s="1"/>
  <c r="CB85" i="1"/>
  <c r="AS85" i="1"/>
  <c r="R85" i="1"/>
  <c r="AT85" i="1" s="1"/>
  <c r="N85" i="1"/>
  <c r="O85" i="1" s="1"/>
  <c r="CB84" i="1"/>
  <c r="AS84" i="1"/>
  <c r="R84" i="1"/>
  <c r="AT84" i="1" s="1"/>
  <c r="N84" i="1"/>
  <c r="O84" i="1" s="1"/>
  <c r="CB83" i="1"/>
  <c r="R83" i="1"/>
  <c r="N83" i="1"/>
  <c r="O83" i="1" s="1"/>
  <c r="CB82" i="1"/>
  <c r="R82" i="1"/>
  <c r="N82" i="1"/>
  <c r="O82" i="1" s="1"/>
  <c r="CB81" i="1"/>
  <c r="R81" i="1"/>
  <c r="N81" i="1"/>
  <c r="O81" i="1" s="1"/>
  <c r="CB80" i="1"/>
  <c r="AS80" i="1"/>
  <c r="R80" i="1"/>
  <c r="AT80" i="1" s="1"/>
  <c r="N80" i="1"/>
  <c r="O80" i="1" s="1"/>
  <c r="CB79" i="1"/>
  <c r="N79" i="1"/>
  <c r="O79" i="1" s="1"/>
  <c r="H79" i="1"/>
  <c r="I79" i="1" s="1"/>
  <c r="CB78" i="1"/>
  <c r="AS78" i="1"/>
  <c r="R78" i="1"/>
  <c r="AT78" i="1" s="1"/>
  <c r="N78" i="1"/>
  <c r="O78" i="1" s="1"/>
  <c r="CB77" i="1"/>
  <c r="AS77" i="1"/>
  <c r="R77" i="1"/>
  <c r="AT77" i="1" s="1"/>
  <c r="N77" i="1"/>
  <c r="O77" i="1" s="1"/>
  <c r="CB76" i="1"/>
  <c r="AS76" i="1"/>
  <c r="R76" i="1"/>
  <c r="AT76" i="1" s="1"/>
  <c r="N76" i="1"/>
  <c r="O76" i="1" s="1"/>
  <c r="CB75" i="1"/>
  <c r="AS75" i="1"/>
  <c r="R75" i="1"/>
  <c r="AT75" i="1" s="1"/>
  <c r="N75" i="1"/>
  <c r="O75" i="1" s="1"/>
  <c r="CB74" i="1"/>
  <c r="AS74" i="1"/>
  <c r="R74" i="1"/>
  <c r="AT74" i="1" s="1"/>
  <c r="N74" i="1"/>
  <c r="O74" i="1" s="1"/>
  <c r="CB73" i="1"/>
  <c r="AS73" i="1"/>
  <c r="R73" i="1"/>
  <c r="AT73" i="1" s="1"/>
  <c r="N73" i="1"/>
  <c r="O73" i="1" s="1"/>
  <c r="CB72" i="1"/>
  <c r="AS72" i="1"/>
  <c r="R72" i="1"/>
  <c r="AT72" i="1" s="1"/>
  <c r="N72" i="1"/>
  <c r="O72" i="1" s="1"/>
  <c r="CB71" i="1"/>
  <c r="AS71" i="1"/>
  <c r="R71" i="1"/>
  <c r="AT71" i="1" s="1"/>
  <c r="N71" i="1"/>
  <c r="O71" i="1" s="1"/>
  <c r="CB70" i="1"/>
  <c r="AS70" i="1"/>
  <c r="R70" i="1"/>
  <c r="AT70" i="1" s="1"/>
  <c r="N70" i="1"/>
  <c r="O70" i="1" s="1"/>
  <c r="CB69" i="1"/>
  <c r="R69" i="1"/>
  <c r="N69" i="1"/>
  <c r="O69" i="1" s="1"/>
  <c r="CB68" i="1"/>
  <c r="AS68" i="1"/>
  <c r="R68" i="1"/>
  <c r="AT68" i="1" s="1"/>
  <c r="N68" i="1"/>
  <c r="O68" i="1" s="1"/>
  <c r="CB67" i="1"/>
  <c r="R67" i="1"/>
  <c r="N67" i="1"/>
  <c r="O67" i="1" s="1"/>
  <c r="CB66" i="1"/>
  <c r="AS66" i="1"/>
  <c r="R66" i="1"/>
  <c r="AT66" i="1" s="1"/>
  <c r="N66" i="1"/>
  <c r="O66" i="1" s="1"/>
  <c r="CB65" i="1"/>
  <c r="AS65" i="1"/>
  <c r="R65" i="1"/>
  <c r="AT65" i="1" s="1"/>
  <c r="N65" i="1"/>
  <c r="O65" i="1" s="1"/>
  <c r="CB64" i="1"/>
  <c r="AS64" i="1"/>
  <c r="R64" i="1"/>
  <c r="AT64" i="1" s="1"/>
  <c r="N64" i="1"/>
  <c r="O64" i="1" s="1"/>
  <c r="CB63" i="1"/>
  <c r="AS63" i="1"/>
  <c r="R63" i="1"/>
  <c r="AT63" i="1" s="1"/>
  <c r="N63" i="1"/>
  <c r="O63" i="1" s="1"/>
  <c r="CB62" i="1"/>
  <c r="AS62" i="1"/>
  <c r="R62" i="1"/>
  <c r="AT62" i="1" s="1"/>
  <c r="N62" i="1"/>
  <c r="O62" i="1" s="1"/>
  <c r="CB61" i="1"/>
  <c r="R61" i="1"/>
  <c r="N61" i="1"/>
  <c r="O61" i="1" s="1"/>
  <c r="CB60" i="1"/>
  <c r="AS60" i="1"/>
  <c r="R60" i="1"/>
  <c r="AT60" i="1" s="1"/>
  <c r="N60" i="1"/>
  <c r="O60" i="1" s="1"/>
  <c r="CB59" i="1"/>
  <c r="R59" i="1"/>
  <c r="N59" i="1"/>
  <c r="O59" i="1" s="1"/>
  <c r="CB58" i="1"/>
  <c r="AS58" i="1"/>
  <c r="R58" i="1"/>
  <c r="AT58" i="1" s="1"/>
  <c r="N58" i="1"/>
  <c r="O58" i="1" s="1"/>
  <c r="CB57" i="1"/>
  <c r="AS57" i="1"/>
  <c r="R57" i="1"/>
  <c r="AT57" i="1" s="1"/>
  <c r="N57" i="1"/>
  <c r="O57" i="1" s="1"/>
  <c r="CB56" i="1"/>
  <c r="AS56" i="1"/>
  <c r="R56" i="1"/>
  <c r="AT56" i="1" s="1"/>
  <c r="N56" i="1"/>
  <c r="O56" i="1" s="1"/>
  <c r="CB55" i="1"/>
  <c r="AS55" i="1"/>
  <c r="R55" i="1"/>
  <c r="AT55" i="1" s="1"/>
  <c r="N55" i="1"/>
  <c r="O55" i="1" s="1"/>
  <c r="CB54" i="1"/>
  <c r="R54" i="1"/>
  <c r="N54" i="1"/>
  <c r="O54" i="1" s="1"/>
  <c r="CB53" i="1"/>
  <c r="AS53" i="1"/>
  <c r="R53" i="1"/>
  <c r="AT53" i="1" s="1"/>
  <c r="N53" i="1"/>
  <c r="O53" i="1" s="1"/>
  <c r="CB52" i="1"/>
  <c r="AS52" i="1"/>
  <c r="R52" i="1"/>
  <c r="AT52" i="1" s="1"/>
  <c r="N52" i="1"/>
  <c r="O52" i="1" s="1"/>
  <c r="CB51" i="1"/>
  <c r="AS51" i="1"/>
  <c r="R51" i="1"/>
  <c r="AT51" i="1" s="1"/>
  <c r="N51" i="1"/>
  <c r="O51" i="1" s="1"/>
  <c r="CB50" i="1"/>
  <c r="R50" i="1"/>
  <c r="N50" i="1"/>
  <c r="O50" i="1" s="1"/>
  <c r="CB49" i="1"/>
  <c r="AS49" i="1"/>
  <c r="R49" i="1"/>
  <c r="AT49" i="1" s="1"/>
  <c r="N49" i="1"/>
  <c r="O49" i="1" s="1"/>
  <c r="CB48" i="1"/>
  <c r="R48" i="1"/>
  <c r="N48" i="1"/>
  <c r="O48" i="1" s="1"/>
  <c r="CB47" i="1"/>
  <c r="R47" i="1"/>
  <c r="N47" i="1"/>
  <c r="O47" i="1" s="1"/>
  <c r="CB46" i="1"/>
  <c r="R46" i="1"/>
  <c r="O46" i="1"/>
  <c r="N46" i="1"/>
  <c r="CB45" i="1"/>
  <c r="R45" i="1"/>
  <c r="N45" i="1"/>
  <c r="O45" i="1" s="1"/>
  <c r="CB44" i="1"/>
  <c r="R44" i="1"/>
  <c r="N44" i="1"/>
  <c r="O44" i="1" s="1"/>
  <c r="CB43" i="1"/>
  <c r="R43" i="1"/>
  <c r="N43" i="1"/>
  <c r="O43" i="1" s="1"/>
  <c r="CB42" i="1"/>
  <c r="R42" i="1"/>
  <c r="N42" i="1"/>
  <c r="O42" i="1" s="1"/>
  <c r="CB41" i="1"/>
  <c r="R41" i="1"/>
  <c r="N41" i="1"/>
  <c r="O41" i="1" s="1"/>
  <c r="CB40" i="1"/>
  <c r="R40" i="1"/>
  <c r="N40" i="1"/>
  <c r="O40" i="1" s="1"/>
  <c r="CB39" i="1"/>
  <c r="R39" i="1"/>
  <c r="N39" i="1"/>
  <c r="O39" i="1" s="1"/>
  <c r="CB38" i="1"/>
  <c r="R38" i="1"/>
  <c r="N38" i="1"/>
  <c r="O38" i="1" s="1"/>
  <c r="CB37" i="1"/>
  <c r="R37" i="1"/>
  <c r="N37" i="1"/>
  <c r="O37" i="1" s="1"/>
  <c r="CB36" i="1"/>
  <c r="R36" i="1"/>
  <c r="N36" i="1"/>
  <c r="O36" i="1" s="1"/>
  <c r="CB35" i="1"/>
  <c r="R35" i="1"/>
  <c r="N35" i="1"/>
  <c r="O35" i="1" s="1"/>
  <c r="CB34" i="1"/>
  <c r="R34" i="1"/>
  <c r="N34" i="1"/>
  <c r="O34" i="1" s="1"/>
  <c r="CB33" i="1"/>
  <c r="R33" i="1"/>
  <c r="N33" i="1"/>
  <c r="O33" i="1" s="1"/>
  <c r="CB32" i="1"/>
  <c r="R32" i="1"/>
  <c r="N32" i="1"/>
  <c r="O32" i="1" s="1"/>
  <c r="CB31" i="1"/>
  <c r="R31" i="1"/>
  <c r="N31" i="1"/>
  <c r="O31" i="1" s="1"/>
  <c r="CB30" i="1"/>
  <c r="R30" i="1"/>
  <c r="N30" i="1"/>
  <c r="O30" i="1" s="1"/>
  <c r="CB29" i="1"/>
  <c r="AS29" i="1"/>
  <c r="R29" i="1"/>
  <c r="AT29" i="1" s="1"/>
  <c r="N29" i="1"/>
  <c r="O29" i="1" s="1"/>
  <c r="CB28" i="1"/>
  <c r="AS28" i="1"/>
  <c r="R28" i="1"/>
  <c r="AT28" i="1" s="1"/>
  <c r="N28" i="1"/>
  <c r="O28" i="1" s="1"/>
  <c r="CB27" i="1"/>
  <c r="AS27" i="1"/>
  <c r="R27" i="1"/>
  <c r="AT27" i="1" s="1"/>
  <c r="N27" i="1"/>
  <c r="O27" i="1" s="1"/>
  <c r="CB26" i="1"/>
  <c r="AS26" i="1"/>
  <c r="R26" i="1"/>
  <c r="AT26" i="1" s="1"/>
  <c r="N26" i="1"/>
  <c r="O26" i="1" s="1"/>
  <c r="CB25" i="1"/>
  <c r="R25" i="1"/>
  <c r="N25" i="1"/>
  <c r="O25" i="1" s="1"/>
  <c r="CB24" i="1"/>
  <c r="AS24" i="1"/>
  <c r="R24" i="1"/>
  <c r="AT24" i="1" s="1"/>
  <c r="N24" i="1"/>
  <c r="O24" i="1" s="1"/>
  <c r="CB23" i="1"/>
  <c r="AS23" i="1"/>
  <c r="R23" i="1"/>
  <c r="AT23" i="1" s="1"/>
  <c r="N23" i="1"/>
  <c r="O23" i="1" s="1"/>
  <c r="CB22" i="1"/>
  <c r="AS22" i="1"/>
  <c r="R22" i="1"/>
  <c r="AT22" i="1" s="1"/>
  <c r="N22" i="1"/>
  <c r="O22" i="1" s="1"/>
  <c r="CB21" i="1"/>
  <c r="R21" i="1"/>
  <c r="N21" i="1"/>
  <c r="O21" i="1" s="1"/>
  <c r="CB20" i="1"/>
  <c r="AS20" i="1"/>
  <c r="R20" i="1"/>
  <c r="AT20" i="1" s="1"/>
  <c r="N20" i="1"/>
  <c r="O20" i="1" s="1"/>
  <c r="CB19" i="1"/>
  <c r="AS19" i="1"/>
  <c r="R19" i="1"/>
  <c r="AT19" i="1" s="1"/>
  <c r="N19" i="1"/>
  <c r="O19" i="1" s="1"/>
  <c r="CB18" i="1"/>
  <c r="AS18" i="1"/>
  <c r="R18" i="1"/>
  <c r="AT18" i="1" s="1"/>
  <c r="N18" i="1"/>
  <c r="O18" i="1" s="1"/>
  <c r="CB17" i="1"/>
  <c r="AS17" i="1"/>
  <c r="R17" i="1"/>
  <c r="AT17" i="1" s="1"/>
  <c r="N17" i="1"/>
  <c r="O17" i="1" s="1"/>
  <c r="CB16" i="1"/>
  <c r="AS16" i="1"/>
  <c r="R16" i="1"/>
  <c r="AT16" i="1" s="1"/>
  <c r="N16" i="1"/>
  <c r="O16" i="1" s="1"/>
  <c r="CB15" i="1"/>
  <c r="AS15" i="1"/>
  <c r="R15" i="1"/>
  <c r="AT15" i="1" s="1"/>
  <c r="N15" i="1"/>
  <c r="O15" i="1" s="1"/>
  <c r="CB14" i="1"/>
  <c r="AS14" i="1"/>
  <c r="R14" i="1"/>
  <c r="AT14" i="1" s="1"/>
  <c r="N14" i="1"/>
  <c r="O14" i="1" s="1"/>
  <c r="CB13" i="1"/>
  <c r="AS13" i="1"/>
  <c r="R13" i="1"/>
  <c r="AT13" i="1" s="1"/>
  <c r="N13" i="1"/>
  <c r="O13" i="1" s="1"/>
  <c r="CB12" i="1"/>
  <c r="R12" i="1"/>
  <c r="N12" i="1"/>
  <c r="O12" i="1" s="1"/>
  <c r="CB11" i="1"/>
  <c r="R11" i="1"/>
  <c r="N11" i="1"/>
  <c r="O11" i="1" s="1"/>
  <c r="CB10" i="1"/>
  <c r="AS10" i="1"/>
  <c r="R10" i="1"/>
  <c r="AT10" i="1" s="1"/>
  <c r="N10" i="1"/>
  <c r="O10" i="1" s="1"/>
  <c r="CB9" i="1"/>
  <c r="R9" i="1"/>
  <c r="N9" i="1"/>
  <c r="O9" i="1" s="1"/>
  <c r="CB8" i="1"/>
  <c r="AS8" i="1"/>
  <c r="R8" i="1"/>
  <c r="AT8" i="1" s="1"/>
  <c r="N8" i="1"/>
  <c r="O8" i="1" s="1"/>
  <c r="AT231" i="1" l="1"/>
  <c r="AR231" i="1"/>
  <c r="AR230" i="1"/>
  <c r="AT230" i="1"/>
  <c r="AT105" i="1"/>
  <c r="AR1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Costos y Presupuestos</author>
    <author>tc={700329D2-7BDD-47C4-AE1F-3D0D9CA211F1}</author>
  </authors>
  <commentList>
    <comment ref="AC9" authorId="0" shapeId="0" xr:uid="{3065C389-EBB7-4D39-8048-AEC4FF62565E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P86" authorId="0" shapeId="0" xr:uid="{9FABA398-F364-482E-8A10-4D146E3F5548}">
      <text>
        <r>
          <rPr>
            <b/>
            <sz val="8"/>
            <color indexed="81"/>
            <rFont val="Tahoma"/>
            <family val="2"/>
          </rPr>
          <t>Costos y Presupuestos:</t>
        </r>
        <r>
          <rPr>
            <sz val="8"/>
            <color indexed="81"/>
            <rFont val="Tahoma"/>
            <family val="2"/>
          </rPr>
          <t xml:space="preserve">
son pisos y no capas
</t>
        </r>
      </text>
    </comment>
    <comment ref="AA112" authorId="0" shapeId="0" xr:uid="{67056D97-4B34-40F6-ACDA-F8B27520BFC6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13" authorId="0" shapeId="0" xr:uid="{7BBE8696-6E1A-4DB4-9B64-C19BBE57FA7A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C113" authorId="1" shapeId="0" xr:uid="{700329D2-7BDD-47C4-AE1F-3D0D9CA211F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Modificado 26.05
</t>
      </text>
    </comment>
    <comment ref="AA114" authorId="0" shapeId="0" xr:uid="{131BFBC0-19B0-4F33-B74B-2B7B32A2EB2A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15" authorId="0" shapeId="0" xr:uid="{AF49808C-6CF9-48F9-A02C-32FF6F12D975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18" authorId="0" shapeId="0" xr:uid="{CAA77D17-DC00-4F16-88B1-3F526B36ACA0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19" authorId="0" shapeId="0" xr:uid="{394C39EF-650A-4E36-B9A8-8E03F255A022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20" authorId="0" shapeId="0" xr:uid="{3F604734-6F5C-402C-8251-17E8B623E026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21" authorId="0" shapeId="0" xr:uid="{970A5326-0523-445A-9937-9205F566DEF0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P145" authorId="0" shapeId="0" xr:uid="{FC34BF99-CEA4-4372-8B1C-52F5058109A2}">
      <text>
        <r>
          <rPr>
            <b/>
            <sz val="8"/>
            <color indexed="81"/>
            <rFont val="Tahoma"/>
            <family val="2"/>
          </rPr>
          <t>Costos y Presupuestos:</t>
        </r>
        <r>
          <rPr>
            <sz val="8"/>
            <color indexed="81"/>
            <rFont val="Tahoma"/>
            <family val="2"/>
          </rPr>
          <t xml:space="preserve">
son pisos y no capas
</t>
        </r>
      </text>
    </comment>
    <comment ref="P146" authorId="0" shapeId="0" xr:uid="{077BBDA2-E005-4103-8FE4-02FF23CA935C}">
      <text>
        <r>
          <rPr>
            <b/>
            <sz val="8"/>
            <color indexed="81"/>
            <rFont val="Tahoma"/>
            <family val="2"/>
          </rPr>
          <t>Costos y Presupuestos:</t>
        </r>
        <r>
          <rPr>
            <sz val="8"/>
            <color indexed="81"/>
            <rFont val="Tahoma"/>
            <family val="2"/>
          </rPr>
          <t xml:space="preserve">
son pisos y no capas
</t>
        </r>
      </text>
    </comment>
    <comment ref="AA159" authorId="0" shapeId="0" xr:uid="{8FCD1983-7A2C-4A99-AEDD-AB77C19B7453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61" authorId="0" shapeId="0" xr:uid="{EC471110-F16E-4127-BA11-0C6846A39271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62" authorId="0" shapeId="0" xr:uid="{397B2075-AB57-466F-853E-3832828DEE78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AA194" authorId="0" shapeId="0" xr:uid="{CDFD7D75-F528-436C-9A99-877D9807AB29}">
      <text>
        <r>
          <rPr>
            <b/>
            <sz val="8"/>
            <color indexed="81"/>
            <rFont val="Tahoma"/>
            <family val="2"/>
          </rPr>
          <t>ACTUALIZADO 29/10/24</t>
        </r>
      </text>
    </comment>
    <comment ref="P195" authorId="0" shapeId="0" xr:uid="{8877B7A5-7872-42E7-AED6-78E50CAE6997}">
      <text>
        <r>
          <rPr>
            <b/>
            <sz val="8"/>
            <color indexed="81"/>
            <rFont val="Tahoma"/>
            <family val="2"/>
          </rPr>
          <t>Costos y Presupuestos:</t>
        </r>
        <r>
          <rPr>
            <sz val="8"/>
            <color indexed="81"/>
            <rFont val="Tahoma"/>
            <family val="2"/>
          </rPr>
          <t xml:space="preserve">
son pisos y no capas
</t>
        </r>
      </text>
    </comment>
    <comment ref="P227" authorId="0" shapeId="0" xr:uid="{260744F3-338A-4372-B3DF-82F1020B79BD}">
      <text>
        <r>
          <rPr>
            <b/>
            <sz val="8"/>
            <color indexed="81"/>
            <rFont val="Tahoma"/>
            <family val="2"/>
          </rPr>
          <t>Costos y Presupuestos:</t>
        </r>
        <r>
          <rPr>
            <sz val="8"/>
            <color indexed="81"/>
            <rFont val="Tahoma"/>
            <family val="2"/>
          </rPr>
          <t xml:space="preserve">
son pisos y no capas
</t>
        </r>
      </text>
    </comment>
    <comment ref="P230" authorId="0" shapeId="0" xr:uid="{3502A0F7-D03E-4AF5-8A42-8E1A8B35FAAF}">
      <text>
        <r>
          <rPr>
            <b/>
            <sz val="8"/>
            <color indexed="81"/>
            <rFont val="Tahoma"/>
            <family val="2"/>
          </rPr>
          <t>Costos y Presupuestos:</t>
        </r>
        <r>
          <rPr>
            <sz val="8"/>
            <color indexed="81"/>
            <rFont val="Tahoma"/>
            <family val="2"/>
          </rPr>
          <t xml:space="preserve">
son pisos y no capas
</t>
        </r>
      </text>
    </comment>
  </commentList>
</comments>
</file>

<file path=xl/sharedStrings.xml><?xml version="1.0" encoding="utf-8"?>
<sst xmlns="http://schemas.openxmlformats.org/spreadsheetml/2006/main" count="2352" uniqueCount="506">
  <si>
    <t>fanta</t>
  </si>
  <si>
    <t>TABLA PARA ARMADO DEL COSTO ESTANDAR - TEORICOS</t>
  </si>
  <si>
    <t>f zero</t>
  </si>
  <si>
    <t>sch pom</t>
  </si>
  <si>
    <t>sch tonic</t>
  </si>
  <si>
    <t>CONCENTRADO</t>
  </si>
  <si>
    <t>FRUCTOSA</t>
  </si>
  <si>
    <t>GAS CARBONICO</t>
  </si>
  <si>
    <t>TAPAS</t>
  </si>
  <si>
    <t>ETIQUETAS</t>
  </si>
  <si>
    <t>BOTELLAS PET - PREFORMAS</t>
  </si>
  <si>
    <t>BOTELLAS VIDRIO - NO RETORNABLE</t>
  </si>
  <si>
    <t>BOTELLAS VIDRIO - RETORNABLE</t>
  </si>
  <si>
    <t>ESQUELETOS</t>
  </si>
  <si>
    <t>TERMOCONTRAIBLE</t>
  </si>
  <si>
    <t>STRETCH</t>
  </si>
  <si>
    <t>SEPARADORES</t>
  </si>
  <si>
    <t>PALLETS</t>
  </si>
  <si>
    <t>CAJAS BIB</t>
  </si>
  <si>
    <t>BOLSAS BIB</t>
  </si>
  <si>
    <t>NITRÓGENO</t>
  </si>
  <si>
    <t>Cod. Venta</t>
  </si>
  <si>
    <t>Artículo</t>
  </si>
  <si>
    <t>Categoría</t>
  </si>
  <si>
    <t>Marca</t>
  </si>
  <si>
    <t>Marca - Sabor</t>
  </si>
  <si>
    <t>Tamaño</t>
  </si>
  <si>
    <t>Tamaño Real</t>
  </si>
  <si>
    <t>Linea Prod.</t>
  </si>
  <si>
    <t>Precios</t>
  </si>
  <si>
    <t>Imp. Int.</t>
  </si>
  <si>
    <t>Tipo de Prod.</t>
  </si>
  <si>
    <t>Litros x botella</t>
  </si>
  <si>
    <t>Botellas por pack</t>
  </si>
  <si>
    <t>Cantidad de litros x  pack</t>
  </si>
  <si>
    <t>Cantidad de U-Case x  pack</t>
  </si>
  <si>
    <t>CAPAS</t>
  </si>
  <si>
    <t>PACKS x CAPAS</t>
  </si>
  <si>
    <t>PACKS x PALLETS</t>
  </si>
  <si>
    <t>Incidencia</t>
  </si>
  <si>
    <t>Incidencia de Reventa</t>
  </si>
  <si>
    <t>CODIGO CONCENTRADO</t>
  </si>
  <si>
    <t>Teórico (Unid.) CONCENTRADO</t>
  </si>
  <si>
    <t>CODIGO FRUCTOSA</t>
  </si>
  <si>
    <t>Teórico (Kg) FRUCTOSA</t>
  </si>
  <si>
    <t>CODIGO GAS CARBONICO</t>
  </si>
  <si>
    <t>Teórico (Kg) GAS CARBONICO</t>
  </si>
  <si>
    <t>CODIGO TAPAS</t>
  </si>
  <si>
    <t>Teórico (Un) TAPAS</t>
  </si>
  <si>
    <t>CODIGO ETIQUETAS</t>
  </si>
  <si>
    <t>Teórico (Un) ETIQUETAS</t>
  </si>
  <si>
    <t>CODIGO PREFORMAS</t>
  </si>
  <si>
    <t>Teórico (Un) PREFORMAS</t>
  </si>
  <si>
    <t>CODIGO BOTELLAS VIDRIO</t>
  </si>
  <si>
    <t>Teórico (Un) BOTELLAS VIDRIO</t>
  </si>
  <si>
    <t>CODIGO BOTELLAS RETORNABLES</t>
  </si>
  <si>
    <t>Teórico (Un) BOTELLAS RETORNABLES</t>
  </si>
  <si>
    <t>CODIGO ESQUELETOS</t>
  </si>
  <si>
    <t>Teórico (Un) ESQUELETOS</t>
  </si>
  <si>
    <t>CODIGO TERMOCONTRAIBLE</t>
  </si>
  <si>
    <t>Teórico (Kg) TERMOCONTRAIBLE</t>
  </si>
  <si>
    <t>CODIGO STRETCH</t>
  </si>
  <si>
    <t>Teórico (Kg) STRETCH</t>
  </si>
  <si>
    <t>CODIGO SEPARADORES</t>
  </si>
  <si>
    <t>Teórico (Un) SEPARADORES</t>
  </si>
  <si>
    <t>CODIGO PALLETS</t>
  </si>
  <si>
    <t>Teórico (Un) PALLETS</t>
  </si>
  <si>
    <t>CODIGO CAJAS BIB</t>
  </si>
  <si>
    <t>Teórico (Un) CAJAS BIB</t>
  </si>
  <si>
    <t>CODIGO BOLSAS BIB</t>
  </si>
  <si>
    <t>Teórico (Un) BOLSAS BIB</t>
  </si>
  <si>
    <t>CODIGO</t>
  </si>
  <si>
    <t>Teórico x UNIT</t>
  </si>
  <si>
    <t>MARCA</t>
  </si>
  <si>
    <t>Rendimiento en Litros x Unid. Concentrado</t>
  </si>
  <si>
    <t>Coca Cola 1000cc Petx8</t>
  </si>
  <si>
    <t>Gaseosa</t>
  </si>
  <si>
    <t>Coca Cola</t>
  </si>
  <si>
    <t>Coca Cola Einstein</t>
  </si>
  <si>
    <t>1000cc x8</t>
  </si>
  <si>
    <t>Gaseosa1000cc x8</t>
  </si>
  <si>
    <t>P</t>
  </si>
  <si>
    <t>Coca Cola 250cc Petx12</t>
  </si>
  <si>
    <t>250cc x12</t>
  </si>
  <si>
    <t>Gaseosa250cc x12</t>
  </si>
  <si>
    <t>Ades</t>
  </si>
  <si>
    <t>350cc x24</t>
  </si>
  <si>
    <t>Coca Cola 350cc Vidriox24</t>
  </si>
  <si>
    <t>Gaseosa350cc x24</t>
  </si>
  <si>
    <t>AQM</t>
  </si>
  <si>
    <t>Aquarius Manzana</t>
  </si>
  <si>
    <t>354cc x6</t>
  </si>
  <si>
    <t>Coca Cola 354cc Latax6</t>
  </si>
  <si>
    <t>Gaseosa354cc x6</t>
  </si>
  <si>
    <t>R</t>
  </si>
  <si>
    <t>AQMZ</t>
  </si>
  <si>
    <t>Aquarius Manzana Cero</t>
  </si>
  <si>
    <t>1000cc x12</t>
  </si>
  <si>
    <t>Coca Cola 1000cc Vidriox12</t>
  </si>
  <si>
    <t>Gaseosa1000cc x12</t>
  </si>
  <si>
    <t>AQN</t>
  </si>
  <si>
    <t>Aquarius Naranja</t>
  </si>
  <si>
    <t>500cc x12</t>
  </si>
  <si>
    <t>Coca Cola 500cc Petx12</t>
  </si>
  <si>
    <t>Gaseosa500cc x12</t>
  </si>
  <si>
    <t>AQNZ</t>
  </si>
  <si>
    <t>Aquarius Naranja Cero</t>
  </si>
  <si>
    <t>1500cc x8</t>
  </si>
  <si>
    <t>Coca Cola 2000cc RefPetx9</t>
  </si>
  <si>
    <t>2000cc x9</t>
  </si>
  <si>
    <t>Gaseosa2000cc x9</t>
  </si>
  <si>
    <t>AQP</t>
  </si>
  <si>
    <t>Aquarius Pera</t>
  </si>
  <si>
    <t>1750cc x8</t>
  </si>
  <si>
    <t>Coca Cola 1500cc Petx8</t>
  </si>
  <si>
    <t>Gaseosa1500cc x8</t>
  </si>
  <si>
    <t>AQPA</t>
  </si>
  <si>
    <t>Aquarius Pomelo</t>
  </si>
  <si>
    <t>2250cc x6</t>
  </si>
  <si>
    <t>Coca Cola 1750cc Petx8</t>
  </si>
  <si>
    <t>Gaseosa1750cc x8</t>
  </si>
  <si>
    <t>AQPZ</t>
  </si>
  <si>
    <t>Aquarius Pomelo Cero</t>
  </si>
  <si>
    <t>3000cc x6</t>
  </si>
  <si>
    <t>Coca Cola 2250cc Petx6</t>
  </si>
  <si>
    <t>Gaseosa2250cc x6</t>
  </si>
  <si>
    <t>AQUV</t>
  </si>
  <si>
    <t>Aquarius Uva</t>
  </si>
  <si>
    <t>BIB 10L</t>
  </si>
  <si>
    <t>Coca Cola 3000cc Petx6</t>
  </si>
  <si>
    <t>Gaseosa3000cc x6</t>
  </si>
  <si>
    <t>Benedictino con gas</t>
  </si>
  <si>
    <t>Coca Cola 10L BIB</t>
  </si>
  <si>
    <t>BAG 10L</t>
  </si>
  <si>
    <t>GaseosaBag in Box x 10 Lts</t>
  </si>
  <si>
    <t>GaseosaBIB</t>
  </si>
  <si>
    <t>Benedictino sin gas</t>
  </si>
  <si>
    <t>Fanta Naranja 350cc Vidriox24</t>
  </si>
  <si>
    <t>Fanta</t>
  </si>
  <si>
    <t>Fanta Naranja</t>
  </si>
  <si>
    <t>CEPDD</t>
  </si>
  <si>
    <t>Cepita Durazno Delicioso</t>
  </si>
  <si>
    <t>Fanta Naranja 354cc Latax6</t>
  </si>
  <si>
    <t>Cepita Fresh Naranja</t>
  </si>
  <si>
    <t>Fanta Naranja 1000cc Vidriox12</t>
  </si>
  <si>
    <t>Cepita Fresh Pomelo</t>
  </si>
  <si>
    <t>Fanta Naranja 500cc Petx12</t>
  </si>
  <si>
    <t>CEPM</t>
  </si>
  <si>
    <t>Cepita Manzana</t>
  </si>
  <si>
    <t>Fanta Naranja 2000cc RefPetx9</t>
  </si>
  <si>
    <t>CEPMR</t>
  </si>
  <si>
    <t>Cepita Manzana Roja</t>
  </si>
  <si>
    <t>Fanta Naranja 237cc Petx8</t>
  </si>
  <si>
    <t>237cc x8</t>
  </si>
  <si>
    <t>Gaseosa237cc x8</t>
  </si>
  <si>
    <t>CEPMF</t>
  </si>
  <si>
    <t>Cepita Multifruta</t>
  </si>
  <si>
    <t>Fanta Naranja 1500cc Petx8</t>
  </si>
  <si>
    <t>CEPN</t>
  </si>
  <si>
    <t>Cepita Naranja</t>
  </si>
  <si>
    <t>Fanta Naranja 1750cc Petx8</t>
  </si>
  <si>
    <t>CEPN0</t>
  </si>
  <si>
    <t>Cepita Naranja 0% Azucar</t>
  </si>
  <si>
    <t>200cc x6</t>
  </si>
  <si>
    <t>Fanta Naranja 2250cc Petx6</t>
  </si>
  <si>
    <t>CEPNT</t>
  </si>
  <si>
    <t>Cepita Naranja Tentacion</t>
  </si>
  <si>
    <t>Fanta Naranja 3000cc Petx6</t>
  </si>
  <si>
    <t>CC</t>
  </si>
  <si>
    <t>Ades Manzana 1000cc Tetrax8</t>
  </si>
  <si>
    <t>Stills</t>
  </si>
  <si>
    <t>Ades1000cc x8</t>
  </si>
  <si>
    <t>AdesFrutal1000cc x8</t>
  </si>
  <si>
    <t>Coca Cola Coffe</t>
  </si>
  <si>
    <t>Ades Chocolate 200cc Tetrax6</t>
  </si>
  <si>
    <t>Ades200cc x6</t>
  </si>
  <si>
    <t>AdesChocolate200cc x6</t>
  </si>
  <si>
    <t>CCE</t>
  </si>
  <si>
    <t>Ades Frutas Tropicales 200cc Tetrax6</t>
  </si>
  <si>
    <t>AdesFrutal200cc x6</t>
  </si>
  <si>
    <t>CCL</t>
  </si>
  <si>
    <t>Coca Cola Sabor Liviana</t>
  </si>
  <si>
    <t>Ades Durazno 200cc Tetrax6</t>
  </si>
  <si>
    <t>CCZ</t>
  </si>
  <si>
    <t>Coca Cola Sin Azucares</t>
  </si>
  <si>
    <t>Ades Naranja 200cc Tetrax6</t>
  </si>
  <si>
    <t>CRLL</t>
  </si>
  <si>
    <t>Crush Lima Limon</t>
  </si>
  <si>
    <t>Ades Anana 200cc Tetrax6</t>
  </si>
  <si>
    <t>CN</t>
  </si>
  <si>
    <t>Crush Naranja</t>
  </si>
  <si>
    <t>Ades Manzana 200cc Tetrax6</t>
  </si>
  <si>
    <t>CPA</t>
  </si>
  <si>
    <t>Crush Pomelo</t>
  </si>
  <si>
    <t>Ades Frutilla 200cc Tetrax6</t>
  </si>
  <si>
    <t>FN</t>
  </si>
  <si>
    <t>Ades Frutilla 1000cc Tetrax8</t>
  </si>
  <si>
    <t>AdesNatural1000cc x8</t>
  </si>
  <si>
    <t>FNZ</t>
  </si>
  <si>
    <t>Fanta Naranja Sin Azucares</t>
  </si>
  <si>
    <t>Ades Almendra vainilla 1000cc Tetrax8</t>
  </si>
  <si>
    <t>AdesAlmendra1000cc x8</t>
  </si>
  <si>
    <t>HI-C Naranja</t>
  </si>
  <si>
    <t>Ades Almendra sin azucar 1000cc Tetrax8</t>
  </si>
  <si>
    <t>Monster</t>
  </si>
  <si>
    <t>Ades Chocolate 1000cc Tetrax8</t>
  </si>
  <si>
    <t>Powerade F. Tropicales</t>
  </si>
  <si>
    <t>Ades Almendra 1000cc Tetrax8</t>
  </si>
  <si>
    <t>Powerade M. Blast</t>
  </si>
  <si>
    <t>Ades Frutas Tropicales 1000cc Tetrax8</t>
  </si>
  <si>
    <t>Powerade Manzana</t>
  </si>
  <si>
    <t>Ades Durazno 1000cc Tetrax8</t>
  </si>
  <si>
    <t>Powerade Naranja</t>
  </si>
  <si>
    <t>Ades Naranja 1000cc Tetrax8</t>
  </si>
  <si>
    <t>Schweppes Pomelo Sin Azucares</t>
  </si>
  <si>
    <t>Ades Anana 1000cc Tetrax8</t>
  </si>
  <si>
    <t>Schweppes Tónica</t>
  </si>
  <si>
    <t>Ades Natural 1000cc Tetrax8</t>
  </si>
  <si>
    <t>Smartwater</t>
  </si>
  <si>
    <t>SP</t>
  </si>
  <si>
    <t>Sprite</t>
  </si>
  <si>
    <t>Sprite Lima Limon 350cc Vidriox24</t>
  </si>
  <si>
    <t>Sprite Lima Limon</t>
  </si>
  <si>
    <t>Sprite Reducida</t>
  </si>
  <si>
    <t>Sprite Lima Limon 354cc Latax6</t>
  </si>
  <si>
    <t>Sprite Sin Azucares</t>
  </si>
  <si>
    <t>Sprite Lima Limon 1000cc Vidriox12</t>
  </si>
  <si>
    <t>Topo Chico</t>
  </si>
  <si>
    <t>Sprite Lima Limon 500cc Petx12</t>
  </si>
  <si>
    <t>Schweppes tónica sin azúcares</t>
  </si>
  <si>
    <t>Sprite Lima Limon 2000cc RefPetx9</t>
  </si>
  <si>
    <t>Fanta Limon Dulce</t>
  </si>
  <si>
    <t>Sprite Lima Limon 237cc Petx8</t>
  </si>
  <si>
    <t>Fanta Misterio</t>
  </si>
  <si>
    <t>Sprite Lima Limon 1500cc Petx8</t>
  </si>
  <si>
    <t>Schweppes Gin Tonic</t>
  </si>
  <si>
    <t>Sprite Lima Limon 1750cc Petx8</t>
  </si>
  <si>
    <t>Schweppes Vodka</t>
  </si>
  <si>
    <t>Sprite Lima Limon 2250cc Petx6</t>
  </si>
  <si>
    <t>Sprite Lima Limon 3000cc Petx6</t>
  </si>
  <si>
    <t>Cepita Naranja 200cc Tetrax6</t>
  </si>
  <si>
    <t>Cepita</t>
  </si>
  <si>
    <t>Cepita200cc x6</t>
  </si>
  <si>
    <t>Fanta Naranja Zero 500cc Petx12</t>
  </si>
  <si>
    <t>Fanta Naranja Zero</t>
  </si>
  <si>
    <t>Fanta Naranja Zero 354cc Latax6</t>
  </si>
  <si>
    <t>Fanta Naranja Zero 1500cc Petx8</t>
  </si>
  <si>
    <t>Fanta Naranja Zero 10L BIB</t>
  </si>
  <si>
    <t>Coca Cola Zero 350cc Vidriox24</t>
  </si>
  <si>
    <t>Coca Cola Zero</t>
  </si>
  <si>
    <t>Coca Cola Sin Azucar 1000cc Vidriox12</t>
  </si>
  <si>
    <t>Coca Cola Zero 500cc Petx12</t>
  </si>
  <si>
    <t>Coca Cola Zero 354cc Latax6</t>
  </si>
  <si>
    <t>Coca Cola Zero 2000cc RefPetx9</t>
  </si>
  <si>
    <t>Coca Cola Zero 237cc Petx8</t>
  </si>
  <si>
    <t>1500cc x6</t>
  </si>
  <si>
    <t>Coca Cola Zero 1500cc Petx8</t>
  </si>
  <si>
    <t>Coca Cola Zero 1750cc Petx8</t>
  </si>
  <si>
    <t>220cc x8</t>
  </si>
  <si>
    <t>Coca Cola Zero 2250cc Petx6</t>
  </si>
  <si>
    <t>Coca Cola Zero 3000cc Petx6</t>
  </si>
  <si>
    <t>Coca Cola Zero 10L BIB</t>
  </si>
  <si>
    <t>310cc x6</t>
  </si>
  <si>
    <t>Coca Cola Light 350cc Vidriox24</t>
  </si>
  <si>
    <t>Coca Cola Light</t>
  </si>
  <si>
    <t>Coca Cola Light 500cc Petx12</t>
  </si>
  <si>
    <t>237cc x9</t>
  </si>
  <si>
    <t>Coca Cola Light 1500cc Petx8</t>
  </si>
  <si>
    <t>Coca Cola Light 2250cc Petx6</t>
  </si>
  <si>
    <t>591cc x6</t>
  </si>
  <si>
    <t>Fanta Pomelo 1750cc Petx8</t>
  </si>
  <si>
    <t>Fanta Pomelo</t>
  </si>
  <si>
    <t>Schweppes Tonica 350cc Vidriox24</t>
  </si>
  <si>
    <t>Schweppes</t>
  </si>
  <si>
    <t>Schweppes Tonica 310cc Latax6</t>
  </si>
  <si>
    <t>Gaseosa310cc x6</t>
  </si>
  <si>
    <t>Schweppes Tonica Zero 310cc Latax6</t>
  </si>
  <si>
    <t>Schweppes Tónica Zero</t>
  </si>
  <si>
    <t>Schweppes Tonica 354cc Latax6</t>
  </si>
  <si>
    <t>Schweppes Tonica 1500cc Petx6</t>
  </si>
  <si>
    <t>Gaseosa1500cc x6</t>
  </si>
  <si>
    <t>Schweppes Tonica 2250cc Petx6</t>
  </si>
  <si>
    <t>Coca Cola 500cc Petx6</t>
  </si>
  <si>
    <t>500cc x6</t>
  </si>
  <si>
    <t>Gaseosa500cc x6</t>
  </si>
  <si>
    <t>Se mantiene version 02.26</t>
  </si>
  <si>
    <t>6250cc</t>
  </si>
  <si>
    <t>Coca Cola 220cc Latax8</t>
  </si>
  <si>
    <t>Gaseosa220cc x8</t>
  </si>
  <si>
    <t>Coca Cola Zero 220cc Latax8</t>
  </si>
  <si>
    <t>1000cc x6</t>
  </si>
  <si>
    <t>Sprite Lima Limon Zero 220cc Latax8</t>
  </si>
  <si>
    <t>Sprite Lima Limon Zero</t>
  </si>
  <si>
    <t>1500cc x4</t>
  </si>
  <si>
    <t>Coca Cola Cafe 220cc Latax8</t>
  </si>
  <si>
    <t>Schweppes Ginger Ale 310cc Latax6</t>
  </si>
  <si>
    <t>Schweppes Ginger Ale</t>
  </si>
  <si>
    <t>Schweppes Tonica LimonySal 310cc Latax6</t>
  </si>
  <si>
    <t>Schweppes Limón</t>
  </si>
  <si>
    <t>Benedictino min. con gas 500cc Petx12</t>
  </si>
  <si>
    <t>Benedictino</t>
  </si>
  <si>
    <t>Benedictino500cc x12</t>
  </si>
  <si>
    <t>Benedictino min. con gas 1500cc Petx6</t>
  </si>
  <si>
    <t>Benedictino1500cc x6</t>
  </si>
  <si>
    <t>Benedictino min. con gas 2250cc Petx6</t>
  </si>
  <si>
    <t>Benedictino2250cc x6</t>
  </si>
  <si>
    <t>SMARTWATER CON GAS 591cc PETx6</t>
  </si>
  <si>
    <t>Smartwater591cc x6</t>
  </si>
  <si>
    <t>Smartwater 1500cc Petx6</t>
  </si>
  <si>
    <t>Smartwater1500cc x6</t>
  </si>
  <si>
    <t>500cc x8</t>
  </si>
  <si>
    <t>Benedictino min. sin gas 500cc Petx12</t>
  </si>
  <si>
    <t>Benedictino min. sin gas 3000cc Petx6</t>
  </si>
  <si>
    <t>Benedictino3000cc x6</t>
  </si>
  <si>
    <t>Benedictino min. sin gas 1500cc Petx6</t>
  </si>
  <si>
    <t>Benedictino min. sin gas 2250cc Petx6</t>
  </si>
  <si>
    <t>Smartwater 591cc Petx6</t>
  </si>
  <si>
    <t>Benedictino Con Gas 500cc Petx12</t>
  </si>
  <si>
    <t>Benedictino Sin Gas 500cc Petx12</t>
  </si>
  <si>
    <t>DUOPACK CCO-SPO 2250 X8</t>
  </si>
  <si>
    <t>2250cc x8</t>
  </si>
  <si>
    <t>Gaseosa2250cc x8</t>
  </si>
  <si>
    <t>Benedictino Con Gas 1500cc Petx6</t>
  </si>
  <si>
    <t>Benedictino Sin Gas 1500cc Petx6</t>
  </si>
  <si>
    <t>Benedictino Con Gas 2250cc Petx6</t>
  </si>
  <si>
    <t>Benedictino Sin Gas 2250cc Petx6</t>
  </si>
  <si>
    <t>Benedictino Sin Gas 3000cc Petx6</t>
  </si>
  <si>
    <t>Cepita Naranja 1000cc Petx6</t>
  </si>
  <si>
    <t>Cepita1000cc x6</t>
  </si>
  <si>
    <t>Cepita Naranja 1500cc Petx4</t>
  </si>
  <si>
    <t>Cepita1500cc x4</t>
  </si>
  <si>
    <t>Cepita Durazno Delicioso 1000cc Petx6</t>
  </si>
  <si>
    <t>Cepita Durazno Delicioso 1500cc Petx4</t>
  </si>
  <si>
    <t>995cc x6</t>
  </si>
  <si>
    <t>Cepita Manzana 200cc Tetrax6</t>
  </si>
  <si>
    <t>Cepita Multifruta 200cc Tetrax6</t>
  </si>
  <si>
    <t>Cepita Manzana Roja 1000cc Petx6</t>
  </si>
  <si>
    <t>Cepita Naranja 0% Azucar 1000cc Petx6</t>
  </si>
  <si>
    <t>Cepita Fresh Naranja 1500cc Petx6</t>
  </si>
  <si>
    <t>Cepita Fresh</t>
  </si>
  <si>
    <t>Cepita Fresh1500cc x6</t>
  </si>
  <si>
    <t>CepitaFresh1500cc x6</t>
  </si>
  <si>
    <t>Cepita Fresh Pomelo 1500cc Petx6</t>
  </si>
  <si>
    <t>Schweppes Tonica Sin Azucar 354cc Latax6</t>
  </si>
  <si>
    <t>Crush Naranja 2250cc Petx6</t>
  </si>
  <si>
    <t>Crush</t>
  </si>
  <si>
    <t>Crush2250cc x6</t>
  </si>
  <si>
    <t>GaseosaCRUSH2250cc x6</t>
  </si>
  <si>
    <t>Aquarius Pomelo Rosado 500cc Petx8</t>
  </si>
  <si>
    <t>Aquarius</t>
  </si>
  <si>
    <t>Aquarius500cc x8</t>
  </si>
  <si>
    <t>Aquarius Pomelo Rosado</t>
  </si>
  <si>
    <t>AQUARIUS POMELO ROSADO 1,5</t>
  </si>
  <si>
    <t>Aquarius1500cc x6</t>
  </si>
  <si>
    <t>Aquarius Pomelo Rosado 2250cc Petx6</t>
  </si>
  <si>
    <t>Aquarius2250cc x6</t>
  </si>
  <si>
    <t>Aquarius Naranja 500cc Petx8</t>
  </si>
  <si>
    <t>Aquarius Naranja 1500cc Petx6</t>
  </si>
  <si>
    <t>473cc x6</t>
  </si>
  <si>
    <t>Aquarius Naranja 2250cc Petx6</t>
  </si>
  <si>
    <t>Aquarius Uva 500cc Petx8</t>
  </si>
  <si>
    <t>Aquarius Uva 1500cc Petx6</t>
  </si>
  <si>
    <t>Aquarius Uva 2250cc Petx6</t>
  </si>
  <si>
    <t>Crush Pomelo Amarillo 2250cc Petx6</t>
  </si>
  <si>
    <t>Aquarius Pera 500cc Petx8</t>
  </si>
  <si>
    <t>Aquarius Pera 1500cc Petx6</t>
  </si>
  <si>
    <t>Aquarius Pera 2250cc Petx6</t>
  </si>
  <si>
    <t>Aquarius Manzana 500cc Petx8</t>
  </si>
  <si>
    <t>Aquarius Manzana 1500cc Petx6</t>
  </si>
  <si>
    <t>Aquarius Manzana 2250cc Petx6</t>
  </si>
  <si>
    <t>Aquarius Pomelo 500cc Petx8</t>
  </si>
  <si>
    <t>300cc x6</t>
  </si>
  <si>
    <t>Aquarius Pomelo 1500cc Petx6</t>
  </si>
  <si>
    <t>Aquarius Pomelo 2250cc Petx6</t>
  </si>
  <si>
    <t>Aquarius Limonada 500cc Petx6</t>
  </si>
  <si>
    <t>Aquarius500cc x6</t>
  </si>
  <si>
    <t>Cepita Fresh Naranja 500cc Petx6</t>
  </si>
  <si>
    <t>Cepita500cc x6</t>
  </si>
  <si>
    <t>CepitaFresh500cc x6</t>
  </si>
  <si>
    <t>Powerade Maracuya 500cc Petx6</t>
  </si>
  <si>
    <t>Powerade</t>
  </si>
  <si>
    <t>Powerade500cc x6</t>
  </si>
  <si>
    <t>Powerade Uva 500cc Petx6</t>
  </si>
  <si>
    <t>POWERADE UVA 995 ML</t>
  </si>
  <si>
    <t>Powerade995cc x6</t>
  </si>
  <si>
    <t>Powerade Tropical Mango 500cc Petx6</t>
  </si>
  <si>
    <t>Powerade Frutas Tropicales 500cc Petx6</t>
  </si>
  <si>
    <t>Powerade Frutas Tropicales 995cc Petx6</t>
  </si>
  <si>
    <t>Crush Lima Limon 2250cc Petx6</t>
  </si>
  <si>
    <t>Powerade Naranja 500cc Petx6</t>
  </si>
  <si>
    <t>POWERADE NARANJA 995 ML</t>
  </si>
  <si>
    <t>Powerade Manzana 500cc Petx6</t>
  </si>
  <si>
    <t>Powerade Manzana 995cc Petx6</t>
  </si>
  <si>
    <t>Powerade Mountain Blast 500cc Petx6</t>
  </si>
  <si>
    <t>Powerade Mountain Blast 995cc Petx6</t>
  </si>
  <si>
    <t>Sprite Zero Lima Limon 350cc Vidriox24</t>
  </si>
  <si>
    <t>Sprite Zero Lima Limon 500cc Petx12</t>
  </si>
  <si>
    <t>Sprite Zero Lima Limon 354cc Latax6</t>
  </si>
  <si>
    <t>Sprite Zero Lima Limon 1500cc Petx8</t>
  </si>
  <si>
    <t>Sprite Zero Lima Limon 2250cc Petx6</t>
  </si>
  <si>
    <t>Sprite Zero Lima Limon 10L BIB</t>
  </si>
  <si>
    <t>BONAQUA MIN SGAS 500X12</t>
  </si>
  <si>
    <t>Bonaqua</t>
  </si>
  <si>
    <t>Bonaqua500cc x12</t>
  </si>
  <si>
    <t>BONAQUA MIN SGAS 1500 X6</t>
  </si>
  <si>
    <t>Bonaqua1500cc x6</t>
  </si>
  <si>
    <t>FANTA POM 500 P6</t>
  </si>
  <si>
    <t>Monster Zero Green 473cc Latax6</t>
  </si>
  <si>
    <t>Monster473cc x6</t>
  </si>
  <si>
    <t>Monster Reserve Anana 473cc Latax6</t>
  </si>
  <si>
    <t>Schweppes Gin Tonic 310cc Latax6</t>
  </si>
  <si>
    <t>Schweppes ARTD</t>
  </si>
  <si>
    <t>Schweppes Vodka citrus 310cc Latax6</t>
  </si>
  <si>
    <t>Monster Watermelon Zero 473cc Latax6</t>
  </si>
  <si>
    <t>Monster Rossi AR 473cc Latax6</t>
  </si>
  <si>
    <t>Monster Ultra Zero 473cc Latax6</t>
  </si>
  <si>
    <t>Monster Green 473cc Latax6</t>
  </si>
  <si>
    <t>Monster Mango Loco 473cc Latax6</t>
  </si>
  <si>
    <t>Monster Sunrise Zero 473cc Latax6</t>
  </si>
  <si>
    <t>Monster Paradise Zero 473cc Latax6</t>
  </si>
  <si>
    <t>MONSTER GREEN 473CC X 6</t>
  </si>
  <si>
    <t>MONSTER WATERMELON 473 LATA-6 NV</t>
  </si>
  <si>
    <t>MONSTER ROSSI AR 473X6</t>
  </si>
  <si>
    <t>Cepita Mix Frutilla Mango 300cc Petx6</t>
  </si>
  <si>
    <t>Cepita Mix Frutilla Mango 1000cc Petx6</t>
  </si>
  <si>
    <t>Cepita Mix Anana Mandarina 1000cc Petx6</t>
  </si>
  <si>
    <t>Coca Cola Zero Kwave 473cc Latax6</t>
  </si>
  <si>
    <t>Gaseosa473cc x6</t>
  </si>
  <si>
    <t>Coca Cola Zero OREO 473cc Latax6</t>
  </si>
  <si>
    <t>Sprite Zero Ice 473cc Lata x6</t>
  </si>
  <si>
    <t>Schweppes Pomelo Zero 350cc Vidriox24</t>
  </si>
  <si>
    <t>Schweppes Pomelo Zero</t>
  </si>
  <si>
    <t>Schweppes Pomelo Zero 310cc Latax6</t>
  </si>
  <si>
    <t>Schweppes Pomelo Zero 500cc Petx12</t>
  </si>
  <si>
    <t>Schweppes Pomelo Zero 1500cc Petx6</t>
  </si>
  <si>
    <t>Schweppes Pomelo Zero 2250cc Petx6</t>
  </si>
  <si>
    <t>Cepita Naranja 0% Azucar 300cc Petx6</t>
  </si>
  <si>
    <t>Cepita300cc x6</t>
  </si>
  <si>
    <t>Powerade Gold Rush 500cc Petx6</t>
  </si>
  <si>
    <t>Aquarius Naranja Zero 1500cc Petx6</t>
  </si>
  <si>
    <t>Aquarius Zero</t>
  </si>
  <si>
    <t>Aquarius Naranja Zero 2250cc Petx6</t>
  </si>
  <si>
    <t>Aquarius Manzana Zero 1500cc Petx6</t>
  </si>
  <si>
    <t>Aquarius Manzana Zero 2250cc Petx6</t>
  </si>
  <si>
    <t>Aquarius Pomelo Zero 1500cc Petx6</t>
  </si>
  <si>
    <t>Aquarius Pomelo Zero 2250cc Petx6</t>
  </si>
  <si>
    <t>Fanta Uva 500cc Petx6</t>
  </si>
  <si>
    <t>Fanta Uva</t>
  </si>
  <si>
    <t>Gas Carbónico 9 Kg</t>
  </si>
  <si>
    <t>Otro</t>
  </si>
  <si>
    <t>x</t>
  </si>
  <si>
    <t>Fanta Naranja Zero 2250cc Petx6</t>
  </si>
  <si>
    <t>Powerade Uva 995cc Petx6</t>
  </si>
  <si>
    <t>RABIETA AMERICAN IPA BOT 710 CC X 6</t>
  </si>
  <si>
    <t>Cervezas</t>
  </si>
  <si>
    <t>Rabieta</t>
  </si>
  <si>
    <t>C</t>
  </si>
  <si>
    <t>RABIETA RED IRISH ALE BOT 710 CC X 6</t>
  </si>
  <si>
    <t>RABIETA RED HONEY BOT 710 CC X 6</t>
  </si>
  <si>
    <t>RABIETA AMERICAN IPA LATA 473 CC X 6</t>
  </si>
  <si>
    <t>RABIETA GOLDEN ALE LATA 473 CC X 6</t>
  </si>
  <si>
    <t>RABIETA RED IRISH ALE LATA 473 CC X 6</t>
  </si>
  <si>
    <t>RABIETA RED HONEY LATA 473 CC X 6</t>
  </si>
  <si>
    <t>RABIETA HELLES MUNICH LATA 473 CC X 6</t>
  </si>
  <si>
    <t>GUINNESS EXTRA STOUT LATA 473 CC X 6</t>
  </si>
  <si>
    <t>Guinness</t>
  </si>
  <si>
    <t>RABIETA HELLES MUNICH BOT 710 CC X 6</t>
  </si>
  <si>
    <t>PAMPA BREWING IPA LATA 473 CC X 6</t>
  </si>
  <si>
    <t>Pampa</t>
  </si>
  <si>
    <t>PAMPA BREWING DORADA PAMPEANA LATA 473x6</t>
  </si>
  <si>
    <t>PAMPA BREWING AMBER ALE LATA 473 CC X 6</t>
  </si>
  <si>
    <t>PAMPA BREWING HONEY LATA 473 CC X 6</t>
  </si>
  <si>
    <t>PAMPA BREWING CREAM STOUT LATA 473 CCx6</t>
  </si>
  <si>
    <t>PAMPA LAGER LATA 473x6</t>
  </si>
  <si>
    <t>GUINNESS HOP HOUSE LATA 473 cc x 6</t>
  </si>
  <si>
    <t>AQUARIUS ZERO ANANA Y JENGIBRE 1500CC P6</t>
  </si>
  <si>
    <t>AQUARIUS ZERO ANANA Y JENGIBRE 600CC P6</t>
  </si>
  <si>
    <t>600cc x6</t>
  </si>
  <si>
    <t>Aquarius600cc x6</t>
  </si>
  <si>
    <t>Powerade Sour 500cc Petx6</t>
  </si>
  <si>
    <t>FANTA HALLOWEEN 473ML X6</t>
  </si>
  <si>
    <t>473 cc x6</t>
  </si>
  <si>
    <t>MONSTER RSRVE ANANA 473x6</t>
  </si>
  <si>
    <t>POWERADE PRIMAVERA 500 CC PET x 6</t>
  </si>
  <si>
    <t>POWERADE PRIMAVERA 995 CC PET x 6</t>
  </si>
  <si>
    <t>POWERADE COOL CITRUS 500 cc PET X6</t>
  </si>
  <si>
    <t>ESTRELLA GALICIA LAGER LATA 473CC X 6</t>
  </si>
  <si>
    <t>Estrella Galicia</t>
  </si>
  <si>
    <t>Cervezas473cc x6</t>
  </si>
  <si>
    <t>ESTRELLA GALICIA LAGER BOT 355CC X 6</t>
  </si>
  <si>
    <t>355cc x6</t>
  </si>
  <si>
    <t>Cervezas355cc x6</t>
  </si>
  <si>
    <t>ESTRELLA GALICIA S.GLUTEN LATA 330CC 4x6</t>
  </si>
  <si>
    <t>330cc x6</t>
  </si>
  <si>
    <t>Cervezas330cc x6</t>
  </si>
  <si>
    <t>ESTRELLA GALICIA TOSTADA 0.0 330CC Lx6</t>
  </si>
  <si>
    <t>MONSTER PEACHY KEEN 473x6</t>
  </si>
  <si>
    <t>COCA COLA ZERO 473cc x6</t>
  </si>
  <si>
    <t>Fanta Carmesí 354cc Latax6</t>
  </si>
  <si>
    <t>BENEDICTINO MIN SGAS 3LT PETX4</t>
  </si>
  <si>
    <t>BENEDICTINO MIN SGAS 1,5LT PETX4</t>
  </si>
  <si>
    <t>SCHWEPPES POMELO ZERO 354CC LATA X6</t>
  </si>
  <si>
    <t>POWERADE MOUNTAIN BLAST 995CC P6EMBOT</t>
  </si>
  <si>
    <t>POWERADE FRUTAS TROPICALES 995CC P6EMBOT</t>
  </si>
  <si>
    <t>POWERADE MANZANA 995CC P6EMBOT</t>
  </si>
  <si>
    <t>SCHWEPPES POMELO ZERO 2000CC REFPETX9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</si>
</sst>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00_-;\-* #,##0.0000_-;_-* &quot;-&quot;??_-;_-@_-"/>
    <numFmt numFmtId="165" formatCode="_-* #,##0\ _€_-;\-* #,##0\ _€_-;_-* &quot;-&quot;??\ _€_-;_-@_-"/>
    <numFmt numFmtId="166" formatCode="#,##0.00000"/>
    <numFmt numFmtId="167" formatCode="0.000"/>
    <numFmt numFmtId="168" formatCode="_-* #,##0.000_-;\-* #,##0.000_-;_-* &quot;-&quot;??_-;_-@_-"/>
    <numFmt numFmtId="169" formatCode="0.0"/>
    <numFmt numFmtId="170" formatCode="_-* #,##0.000_-;\-* #,##0.000_-;_-* &quot;-&quot;???_-;_-@_-"/>
    <numFmt numFmtId="171" formatCode="0.0000"/>
    <numFmt numFmtId="172" formatCode="_-* #,##0.00000_-;\-* #,##0.0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12"/>
      <name val="Arial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medium">
        <color indexed="23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medium">
        <color indexed="23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  <border>
      <left style="thick">
        <color indexed="23"/>
      </left>
      <right style="thick">
        <color indexed="23"/>
      </right>
      <top/>
      <bottom style="hair">
        <color auto="1"/>
      </bottom>
      <diagonal/>
    </border>
    <border>
      <left style="thick">
        <color indexed="64"/>
      </left>
      <right style="medium">
        <color indexed="23"/>
      </right>
      <top/>
      <bottom style="hair">
        <color indexed="23"/>
      </bottom>
      <diagonal/>
    </border>
    <border>
      <left style="medium">
        <color indexed="23"/>
      </left>
      <right style="medium">
        <color indexed="23"/>
      </right>
      <top/>
      <bottom style="hair">
        <color indexed="64"/>
      </bottom>
      <diagonal/>
    </border>
    <border>
      <left style="medium">
        <color indexed="23"/>
      </left>
      <right style="thick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10" fontId="8" fillId="0" borderId="0"/>
  </cellStyleXfs>
  <cellXfs count="2669">
    <xf numFmtId="0" fontId="0" fillId="0" borderId="0" xfId="0"/>
    <xf numFmtId="0" fontId="4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0" fontId="5" fillId="0" borderId="0" xfId="0" applyFont="1"/>
    <xf numFmtId="4" fontId="0" fillId="0" borderId="0" xfId="0" applyNumberFormat="1"/>
    <xf numFmtId="165" fontId="4" fillId="0" borderId="0" xfId="0" applyNumberFormat="1" applyFont="1"/>
    <xf numFmtId="0" fontId="4" fillId="0" borderId="0" xfId="0" applyFont="1"/>
    <xf numFmtId="166" fontId="6" fillId="0" borderId="1" xfId="4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2" fillId="2" borderId="0" xfId="3" applyAlignment="1">
      <alignment vertical="center" wrapText="1"/>
    </xf>
    <xf numFmtId="0" fontId="7" fillId="0" borderId="9" xfId="4" applyFont="1" applyBorder="1" applyAlignment="1">
      <alignment horizontal="center"/>
    </xf>
    <xf numFmtId="4" fontId="7" fillId="0" borderId="9" xfId="4" applyNumberFormat="1" applyFont="1" applyBorder="1" applyAlignment="1">
      <alignment horizontal="left"/>
    </xf>
    <xf numFmtId="0" fontId="7" fillId="0" borderId="10" xfId="4" applyFont="1" applyBorder="1" applyAlignment="1">
      <alignment horizontal="center"/>
    </xf>
    <xf numFmtId="4" fontId="7" fillId="0" borderId="10" xfId="4" applyNumberFormat="1" applyFont="1" applyBorder="1" applyAlignment="1">
      <alignment horizontal="left"/>
    </xf>
    <xf numFmtId="4" fontId="7" fillId="0" borderId="11" xfId="4" applyNumberFormat="1" applyFont="1" applyBorder="1" applyAlignment="1">
      <alignment horizontal="left"/>
    </xf>
    <xf numFmtId="10" fontId="9" fillId="0" borderId="12" xfId="5" applyFont="1" applyBorder="1" applyAlignment="1">
      <alignment horizontal="center" vertical="center"/>
    </xf>
    <xf numFmtId="4" fontId="10" fillId="0" borderId="10" xfId="4" applyNumberFormat="1" applyFont="1" applyBorder="1" applyAlignment="1" applyProtection="1">
      <alignment horizontal="center"/>
      <protection hidden="1"/>
    </xf>
    <xf numFmtId="167" fontId="7" fillId="0" borderId="10" xfId="4" applyNumberFormat="1" applyFont="1" applyBorder="1" applyAlignment="1">
      <alignment horizontal="center"/>
    </xf>
    <xf numFmtId="1" fontId="7" fillId="0" borderId="10" xfId="4" applyNumberFormat="1" applyFont="1" applyBorder="1" applyAlignment="1">
      <alignment horizontal="center"/>
    </xf>
    <xf numFmtId="1" fontId="7" fillId="0" borderId="13" xfId="4" applyNumberFormat="1" applyFont="1" applyBorder="1" applyAlignment="1">
      <alignment horizontal="center"/>
    </xf>
    <xf numFmtId="10" fontId="7" fillId="0" borderId="13" xfId="2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2" fontId="7" fillId="0" borderId="15" xfId="4" applyNumberFormat="1" applyFont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168" fontId="7" fillId="4" borderId="15" xfId="1" applyNumberFormat="1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169" fontId="7" fillId="5" borderId="15" xfId="4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169" fontId="13" fillId="0" borderId="15" xfId="4" applyNumberFormat="1" applyFont="1" applyBorder="1" applyAlignment="1">
      <alignment horizontal="center"/>
    </xf>
    <xf numFmtId="0" fontId="7" fillId="0" borderId="14" xfId="4" applyFont="1" applyBorder="1" applyAlignment="1">
      <alignment horizontal="center"/>
    </xf>
    <xf numFmtId="0" fontId="7" fillId="0" borderId="16" xfId="4" applyFont="1" applyBorder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0" fillId="0" borderId="10" xfId="0" applyBorder="1"/>
    <xf numFmtId="0" fontId="0" fillId="0" borderId="0" xfId="1" applyNumberFormat="1" applyFont="1"/>
    <xf numFmtId="43" fontId="0" fillId="0" borderId="0" xfId="1" applyFont="1"/>
    <xf numFmtId="172" fontId="0" fillId="0" borderId="0" xfId="1" applyNumberFormat="1" applyFont="1"/>
    <xf numFmtId="10" fontId="9" fillId="0" borderId="17" xfId="5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2" fontId="7" fillId="0" borderId="19" xfId="4" applyNumberFormat="1" applyFont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168" fontId="7" fillId="4" borderId="19" xfId="1" applyNumberFormat="1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169" fontId="7" fillId="5" borderId="19" xfId="4" applyNumberFormat="1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169" fontId="13" fillId="0" borderId="19" xfId="4" applyNumberFormat="1" applyFont="1" applyBorder="1" applyAlignment="1">
      <alignment horizontal="center"/>
    </xf>
    <xf numFmtId="168" fontId="7" fillId="4" borderId="19" xfId="1" applyNumberFormat="1" applyFont="1" applyFill="1" applyBorder="1" applyAlignment="1">
      <alignment horizontal="right"/>
    </xf>
    <xf numFmtId="1" fontId="7" fillId="0" borderId="20" xfId="4" applyNumberFormat="1" applyFont="1" applyBorder="1" applyAlignment="1">
      <alignment horizontal="center"/>
    </xf>
    <xf numFmtId="4" fontId="7" fillId="0" borderId="10" xfId="4" applyNumberFormat="1" applyFont="1" applyBorder="1" applyAlignment="1">
      <alignment horizontal="center"/>
    </xf>
    <xf numFmtId="10" fontId="9" fillId="0" borderId="21" xfId="5" applyFont="1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2" fontId="7" fillId="0" borderId="23" xfId="4" applyNumberFormat="1" applyFont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168" fontId="7" fillId="4" borderId="23" xfId="1" applyNumberFormat="1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169" fontId="7" fillId="5" borderId="23" xfId="4" applyNumberFormat="1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169" fontId="13" fillId="0" borderId="23" xfId="4" applyNumberFormat="1" applyFont="1" applyBorder="1" applyAlignment="1">
      <alignment horizontal="center"/>
    </xf>
    <xf numFmtId="168" fontId="7" fillId="4" borderId="23" xfId="1" applyNumberFormat="1" applyFont="1" applyFill="1" applyBorder="1" applyAlignment="1">
      <alignment horizontal="right"/>
    </xf>
    <xf numFmtId="1" fontId="7" fillId="0" borderId="24" xfId="4" applyNumberFormat="1" applyFont="1" applyBorder="1" applyAlignment="1">
      <alignment horizontal="center"/>
    </xf>
    <xf numFmtId="10" fontId="9" fillId="0" borderId="25" xfId="5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2" fontId="7" fillId="0" borderId="27" xfId="4" applyNumberFormat="1" applyFont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168" fontId="7" fillId="4" borderId="27" xfId="1" applyNumberFormat="1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169" fontId="7" fillId="5" borderId="27" xfId="4" applyNumberFormat="1" applyFont="1" applyFill="1" applyBorder="1" applyAlignment="1">
      <alignment horizontal="center"/>
    </xf>
    <xf numFmtId="0" fontId="12" fillId="0" borderId="26" xfId="0" applyFont="1" applyBorder="1" applyAlignment="1">
      <alignment horizontal="center"/>
    </xf>
    <xf numFmtId="169" fontId="13" fillId="0" borderId="27" xfId="4" applyNumberFormat="1" applyFont="1" applyBorder="1" applyAlignment="1">
      <alignment horizontal="center"/>
    </xf>
    <xf numFmtId="168" fontId="7" fillId="4" borderId="27" xfId="1" applyNumberFormat="1" applyFont="1" applyFill="1" applyBorder="1" applyAlignment="1">
      <alignment horizontal="right"/>
    </xf>
    <xf numFmtId="1" fontId="7" fillId="0" borderId="28" xfId="4" applyNumberFormat="1" applyFont="1" applyBorder="1" applyAlignment="1">
      <alignment horizontal="center"/>
    </xf>
    <xf numFmtId="10" fontId="9" fillId="0" borderId="29" xfId="5" applyFont="1" applyBorder="1" applyAlignment="1">
      <alignment horizontal="center" vertical="center"/>
    </xf>
    <xf numFmtId="0" fontId="11" fillId="0" borderId="30" xfId="0" applyFont="1" applyBorder="1" applyAlignment="1">
      <alignment horizontal="center"/>
    </xf>
    <xf numFmtId="2" fontId="7" fillId="0" borderId="31" xfId="4" applyNumberFormat="1" applyFont="1" applyBorder="1" applyAlignment="1">
      <alignment horizontal="center"/>
    </xf>
    <xf numFmtId="0" fontId="11" fillId="4" borderId="30" xfId="0" applyFont="1" applyFill="1" applyBorder="1" applyAlignment="1">
      <alignment horizontal="center"/>
    </xf>
    <xf numFmtId="168" fontId="7" fillId="4" borderId="31" xfId="1" applyNumberFormat="1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169" fontId="7" fillId="5" borderId="31" xfId="4" applyNumberFormat="1" applyFont="1" applyFill="1" applyBorder="1" applyAlignment="1">
      <alignment horizontal="center"/>
    </xf>
    <xf numFmtId="0" fontId="12" fillId="0" borderId="30" xfId="0" applyFont="1" applyBorder="1" applyAlignment="1">
      <alignment horizontal="center"/>
    </xf>
    <xf numFmtId="169" fontId="13" fillId="0" borderId="31" xfId="4" applyNumberFormat="1" applyFont="1" applyBorder="1" applyAlignment="1">
      <alignment horizontal="center"/>
    </xf>
    <xf numFmtId="168" fontId="7" fillId="4" borderId="31" xfId="1" applyNumberFormat="1" applyFont="1" applyFill="1" applyBorder="1" applyAlignment="1">
      <alignment horizontal="right"/>
    </xf>
    <xf numFmtId="1" fontId="7" fillId="0" borderId="32" xfId="4" applyNumberFormat="1" applyFont="1" applyBorder="1" applyAlignment="1">
      <alignment horizontal="center"/>
    </xf>
    <xf numFmtId="10" fontId="9" fillId="0" borderId="33" xfId="5" applyFont="1" applyBorder="1" applyAlignment="1">
      <alignment horizontal="center" vertical="center"/>
    </xf>
    <xf numFmtId="0" fontId="11" fillId="0" borderId="34" xfId="0" applyFont="1" applyBorder="1" applyAlignment="1">
      <alignment horizontal="center"/>
    </xf>
    <xf numFmtId="2" fontId="7" fillId="0" borderId="35" xfId="4" applyNumberFormat="1" applyFont="1" applyBorder="1" applyAlignment="1">
      <alignment horizontal="center"/>
    </xf>
    <xf numFmtId="0" fontId="11" fillId="4" borderId="34" xfId="0" applyFont="1" applyFill="1" applyBorder="1" applyAlignment="1">
      <alignment horizontal="center"/>
    </xf>
    <xf numFmtId="168" fontId="7" fillId="4" borderId="35" xfId="1" applyNumberFormat="1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169" fontId="7" fillId="5" borderId="35" xfId="4" applyNumberFormat="1" applyFont="1" applyFill="1" applyBorder="1" applyAlignment="1">
      <alignment horizontal="center"/>
    </xf>
    <xf numFmtId="0" fontId="12" fillId="0" borderId="34" xfId="0" applyFont="1" applyBorder="1" applyAlignment="1">
      <alignment horizontal="center"/>
    </xf>
    <xf numFmtId="169" fontId="13" fillId="0" borderId="35" xfId="4" applyNumberFormat="1" applyFont="1" applyBorder="1" applyAlignment="1">
      <alignment horizontal="center"/>
    </xf>
    <xf numFmtId="168" fontId="7" fillId="4" borderId="35" xfId="1" applyNumberFormat="1" applyFont="1" applyFill="1" applyBorder="1" applyAlignment="1">
      <alignment horizontal="right"/>
    </xf>
    <xf numFmtId="1" fontId="7" fillId="0" borderId="36" xfId="4" applyNumberFormat="1" applyFont="1" applyBorder="1" applyAlignment="1">
      <alignment horizontal="center"/>
    </xf>
    <xf numFmtId="10" fontId="9" fillId="0" borderId="37" xfId="5" applyFont="1" applyBorder="1" applyAlignment="1">
      <alignment horizontal="center" vertical="center"/>
    </xf>
    <xf numFmtId="0" fontId="11" fillId="0" borderId="38" xfId="0" applyFont="1" applyBorder="1" applyAlignment="1">
      <alignment horizontal="center"/>
    </xf>
    <xf numFmtId="2" fontId="7" fillId="0" borderId="39" xfId="4" applyNumberFormat="1" applyFont="1" applyBorder="1" applyAlignment="1">
      <alignment horizontal="center"/>
    </xf>
    <xf numFmtId="0" fontId="11" fillId="4" borderId="38" xfId="0" applyFont="1" applyFill="1" applyBorder="1" applyAlignment="1">
      <alignment horizontal="center"/>
    </xf>
    <xf numFmtId="168" fontId="7" fillId="4" borderId="39" xfId="1" applyNumberFormat="1" applyFont="1" applyFill="1" applyBorder="1" applyAlignment="1">
      <alignment horizontal="center"/>
    </xf>
    <xf numFmtId="0" fontId="11" fillId="5" borderId="38" xfId="0" applyFont="1" applyFill="1" applyBorder="1" applyAlignment="1">
      <alignment horizontal="center"/>
    </xf>
    <xf numFmtId="169" fontId="7" fillId="5" borderId="39" xfId="4" applyNumberFormat="1" applyFont="1" applyFill="1" applyBorder="1" applyAlignment="1">
      <alignment horizontal="center"/>
    </xf>
    <xf numFmtId="0" fontId="12" fillId="0" borderId="38" xfId="0" applyFont="1" applyBorder="1" applyAlignment="1">
      <alignment horizontal="center"/>
    </xf>
    <xf numFmtId="169" fontId="13" fillId="0" borderId="39" xfId="4" applyNumberFormat="1" applyFont="1" applyBorder="1" applyAlignment="1">
      <alignment horizontal="center"/>
    </xf>
    <xf numFmtId="168" fontId="7" fillId="4" borderId="39" xfId="1" applyNumberFormat="1" applyFont="1" applyFill="1" applyBorder="1" applyAlignment="1">
      <alignment horizontal="right"/>
    </xf>
    <xf numFmtId="1" fontId="7" fillId="0" borderId="40" xfId="4" applyNumberFormat="1" applyFont="1" applyBorder="1" applyAlignment="1">
      <alignment horizontal="center"/>
    </xf>
    <xf numFmtId="10" fontId="9" fillId="0" borderId="41" xfId="5" applyFont="1" applyBorder="1" applyAlignment="1">
      <alignment horizontal="center" vertical="center"/>
    </xf>
    <xf numFmtId="0" fontId="11" fillId="0" borderId="42" xfId="0" applyFont="1" applyBorder="1" applyAlignment="1">
      <alignment horizontal="center"/>
    </xf>
    <xf numFmtId="2" fontId="7" fillId="0" borderId="43" xfId="4" applyNumberFormat="1" applyFont="1" applyBorder="1" applyAlignment="1">
      <alignment horizontal="center"/>
    </xf>
    <xf numFmtId="0" fontId="11" fillId="4" borderId="42" xfId="0" applyFont="1" applyFill="1" applyBorder="1" applyAlignment="1">
      <alignment horizontal="center"/>
    </xf>
    <xf numFmtId="168" fontId="7" fillId="4" borderId="43" xfId="1" applyNumberFormat="1" applyFont="1" applyFill="1" applyBorder="1" applyAlignment="1">
      <alignment horizontal="center"/>
    </xf>
    <xf numFmtId="0" fontId="11" fillId="5" borderId="42" xfId="0" applyFont="1" applyFill="1" applyBorder="1" applyAlignment="1">
      <alignment horizontal="center"/>
    </xf>
    <xf numFmtId="169" fontId="7" fillId="5" borderId="43" xfId="4" applyNumberFormat="1" applyFont="1" applyFill="1" applyBorder="1" applyAlignment="1">
      <alignment horizontal="center"/>
    </xf>
    <xf numFmtId="0" fontId="12" fillId="0" borderId="42" xfId="0" applyFont="1" applyBorder="1" applyAlignment="1">
      <alignment horizontal="center"/>
    </xf>
    <xf numFmtId="169" fontId="13" fillId="0" borderId="43" xfId="4" applyNumberFormat="1" applyFont="1" applyBorder="1" applyAlignment="1">
      <alignment horizontal="center"/>
    </xf>
    <xf numFmtId="168" fontId="7" fillId="4" borderId="43" xfId="1" applyNumberFormat="1" applyFont="1" applyFill="1" applyBorder="1" applyAlignment="1">
      <alignment horizontal="right"/>
    </xf>
    <xf numFmtId="1" fontId="7" fillId="0" borderId="44" xfId="4" applyNumberFormat="1" applyFont="1" applyBorder="1" applyAlignment="1">
      <alignment horizontal="center"/>
    </xf>
    <xf numFmtId="10" fontId="9" fillId="0" borderId="45" xfId="5" applyFont="1" applyBorder="1" applyAlignment="1">
      <alignment horizontal="center" vertical="center"/>
    </xf>
    <xf numFmtId="0" fontId="11" fillId="0" borderId="46" xfId="0" applyFont="1" applyBorder="1" applyAlignment="1">
      <alignment horizontal="center"/>
    </xf>
    <xf numFmtId="2" fontId="7" fillId="0" borderId="47" xfId="4" applyNumberFormat="1" applyFont="1" applyBorder="1" applyAlignment="1">
      <alignment horizontal="center"/>
    </xf>
    <xf numFmtId="0" fontId="11" fillId="4" borderId="46" xfId="0" applyFont="1" applyFill="1" applyBorder="1" applyAlignment="1">
      <alignment horizontal="center"/>
    </xf>
    <xf numFmtId="168" fontId="7" fillId="4" borderId="47" xfId="1" applyNumberFormat="1" applyFont="1" applyFill="1" applyBorder="1" applyAlignment="1">
      <alignment horizontal="center"/>
    </xf>
    <xf numFmtId="0" fontId="11" fillId="5" borderId="46" xfId="0" applyFont="1" applyFill="1" applyBorder="1" applyAlignment="1">
      <alignment horizontal="center"/>
    </xf>
    <xf numFmtId="169" fontId="7" fillId="5" borderId="47" xfId="4" applyNumberFormat="1" applyFont="1" applyFill="1" applyBorder="1" applyAlignment="1">
      <alignment horizontal="center"/>
    </xf>
    <xf numFmtId="0" fontId="12" fillId="0" borderId="46" xfId="0" applyFont="1" applyBorder="1" applyAlignment="1">
      <alignment horizontal="center"/>
    </xf>
    <xf numFmtId="169" fontId="13" fillId="0" borderId="47" xfId="4" applyNumberFormat="1" applyFont="1" applyBorder="1" applyAlignment="1">
      <alignment horizontal="center"/>
    </xf>
    <xf numFmtId="168" fontId="7" fillId="4" borderId="47" xfId="1" applyNumberFormat="1" applyFont="1" applyFill="1" applyBorder="1" applyAlignment="1">
      <alignment horizontal="right"/>
    </xf>
    <xf numFmtId="1" fontId="7" fillId="0" borderId="48" xfId="4" applyNumberFormat="1" applyFont="1" applyBorder="1" applyAlignment="1">
      <alignment horizontal="center"/>
    </xf>
    <xf numFmtId="10" fontId="9" fillId="0" borderId="49" xfId="5" applyFont="1" applyBorder="1" applyAlignment="1">
      <alignment horizontal="center" vertical="center"/>
    </xf>
    <xf numFmtId="0" fontId="11" fillId="0" borderId="50" xfId="0" applyFont="1" applyBorder="1" applyAlignment="1">
      <alignment horizontal="center"/>
    </xf>
    <xf numFmtId="2" fontId="7" fillId="0" borderId="51" xfId="4" applyNumberFormat="1" applyFont="1" applyBorder="1" applyAlignment="1">
      <alignment horizontal="center"/>
    </xf>
    <xf numFmtId="0" fontId="11" fillId="4" borderId="50" xfId="0" applyFont="1" applyFill="1" applyBorder="1" applyAlignment="1">
      <alignment horizontal="center"/>
    </xf>
    <xf numFmtId="168" fontId="7" fillId="4" borderId="51" xfId="1" applyNumberFormat="1" applyFont="1" applyFill="1" applyBorder="1" applyAlignment="1">
      <alignment horizontal="center"/>
    </xf>
    <xf numFmtId="0" fontId="11" fillId="5" borderId="50" xfId="0" applyFont="1" applyFill="1" applyBorder="1" applyAlignment="1">
      <alignment horizontal="center"/>
    </xf>
    <xf numFmtId="169" fontId="7" fillId="5" borderId="51" xfId="4" applyNumberFormat="1" applyFont="1" applyFill="1" applyBorder="1" applyAlignment="1">
      <alignment horizontal="center"/>
    </xf>
    <xf numFmtId="0" fontId="12" fillId="0" borderId="50" xfId="0" applyFont="1" applyBorder="1" applyAlignment="1">
      <alignment horizontal="center"/>
    </xf>
    <xf numFmtId="169" fontId="13" fillId="0" borderId="51" xfId="4" applyNumberFormat="1" applyFont="1" applyBorder="1" applyAlignment="1">
      <alignment horizontal="center"/>
    </xf>
    <xf numFmtId="168" fontId="7" fillId="4" borderId="51" xfId="1" applyNumberFormat="1" applyFont="1" applyFill="1" applyBorder="1" applyAlignment="1">
      <alignment horizontal="right"/>
    </xf>
    <xf numFmtId="1" fontId="7" fillId="0" borderId="52" xfId="4" applyNumberFormat="1" applyFont="1" applyBorder="1" applyAlignment="1">
      <alignment horizontal="center"/>
    </xf>
    <xf numFmtId="10" fontId="9" fillId="0" borderId="53" xfId="5" applyFont="1" applyBorder="1" applyAlignment="1">
      <alignment horizontal="center" vertical="center"/>
    </xf>
    <xf numFmtId="0" fontId="11" fillId="0" borderId="54" xfId="0" applyFont="1" applyBorder="1" applyAlignment="1">
      <alignment horizontal="center"/>
    </xf>
    <xf numFmtId="2" fontId="7" fillId="0" borderId="55" xfId="4" applyNumberFormat="1" applyFont="1" applyBorder="1" applyAlignment="1">
      <alignment horizontal="center"/>
    </xf>
    <xf numFmtId="0" fontId="11" fillId="4" borderId="54" xfId="0" applyFont="1" applyFill="1" applyBorder="1" applyAlignment="1">
      <alignment horizontal="center"/>
    </xf>
    <xf numFmtId="168" fontId="7" fillId="4" borderId="55" xfId="1" applyNumberFormat="1" applyFont="1" applyFill="1" applyBorder="1" applyAlignment="1">
      <alignment horizontal="center"/>
    </xf>
    <xf numFmtId="0" fontId="11" fillId="5" borderId="54" xfId="0" applyFont="1" applyFill="1" applyBorder="1" applyAlignment="1">
      <alignment horizontal="center"/>
    </xf>
    <xf numFmtId="169" fontId="7" fillId="5" borderId="55" xfId="4" applyNumberFormat="1" applyFont="1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169" fontId="13" fillId="0" borderId="55" xfId="4" applyNumberFormat="1" applyFont="1" applyBorder="1" applyAlignment="1">
      <alignment horizontal="center"/>
    </xf>
    <xf numFmtId="168" fontId="7" fillId="4" borderId="55" xfId="1" applyNumberFormat="1" applyFont="1" applyFill="1" applyBorder="1" applyAlignment="1">
      <alignment horizontal="right"/>
    </xf>
    <xf numFmtId="1" fontId="7" fillId="0" borderId="56" xfId="4" applyNumberFormat="1" applyFont="1" applyBorder="1" applyAlignment="1">
      <alignment horizontal="center"/>
    </xf>
    <xf numFmtId="10" fontId="9" fillId="0" borderId="57" xfId="5" applyFont="1" applyBorder="1" applyAlignment="1">
      <alignment horizontal="center" vertical="center"/>
    </xf>
    <xf numFmtId="0" fontId="11" fillId="0" borderId="58" xfId="0" applyFont="1" applyBorder="1" applyAlignment="1">
      <alignment horizontal="center"/>
    </xf>
    <xf numFmtId="2" fontId="7" fillId="6" borderId="59" xfId="4" applyNumberFormat="1" applyFont="1" applyFill="1" applyBorder="1" applyAlignment="1">
      <alignment horizontal="center"/>
    </xf>
    <xf numFmtId="0" fontId="11" fillId="4" borderId="58" xfId="0" applyFont="1" applyFill="1" applyBorder="1" applyAlignment="1">
      <alignment horizontal="center"/>
    </xf>
    <xf numFmtId="168" fontId="7" fillId="4" borderId="59" xfId="1" applyNumberFormat="1" applyFont="1" applyFill="1" applyBorder="1" applyAlignment="1">
      <alignment horizontal="center"/>
    </xf>
    <xf numFmtId="0" fontId="11" fillId="5" borderId="58" xfId="0" applyFont="1" applyFill="1" applyBorder="1" applyAlignment="1">
      <alignment horizontal="center"/>
    </xf>
    <xf numFmtId="169" fontId="7" fillId="5" borderId="59" xfId="4" applyNumberFormat="1" applyFont="1" applyFill="1" applyBorder="1" applyAlignment="1">
      <alignment horizontal="center"/>
    </xf>
    <xf numFmtId="0" fontId="12" fillId="0" borderId="58" xfId="0" applyFont="1" applyBorder="1" applyAlignment="1">
      <alignment horizontal="center"/>
    </xf>
    <xf numFmtId="169" fontId="13" fillId="0" borderId="59" xfId="4" applyNumberFormat="1" applyFont="1" applyBorder="1" applyAlignment="1">
      <alignment horizontal="center"/>
    </xf>
    <xf numFmtId="168" fontId="7" fillId="4" borderId="59" xfId="1" applyNumberFormat="1" applyFont="1" applyFill="1" applyBorder="1" applyAlignment="1">
      <alignment horizontal="right"/>
    </xf>
    <xf numFmtId="1" fontId="7" fillId="0" borderId="60" xfId="4" applyNumberFormat="1" applyFont="1" applyBorder="1" applyAlignment="1">
      <alignment horizontal="center"/>
    </xf>
    <xf numFmtId="10" fontId="9" fillId="0" borderId="61" xfId="5" applyFont="1" applyBorder="1" applyAlignment="1">
      <alignment horizontal="center" vertical="center"/>
    </xf>
    <xf numFmtId="0" fontId="11" fillId="0" borderId="62" xfId="0" applyFont="1" applyBorder="1" applyAlignment="1">
      <alignment horizontal="center"/>
    </xf>
    <xf numFmtId="2" fontId="7" fillId="0" borderId="63" xfId="4" applyNumberFormat="1" applyFont="1" applyBorder="1" applyAlignment="1">
      <alignment horizontal="center"/>
    </xf>
    <xf numFmtId="0" fontId="11" fillId="4" borderId="62" xfId="0" applyFont="1" applyFill="1" applyBorder="1" applyAlignment="1">
      <alignment horizontal="center"/>
    </xf>
    <xf numFmtId="168" fontId="7" fillId="4" borderId="63" xfId="1" applyNumberFormat="1" applyFont="1" applyFill="1" applyBorder="1" applyAlignment="1">
      <alignment horizontal="center"/>
    </xf>
    <xf numFmtId="0" fontId="11" fillId="5" borderId="62" xfId="0" applyFont="1" applyFill="1" applyBorder="1" applyAlignment="1">
      <alignment horizontal="center"/>
    </xf>
    <xf numFmtId="169" fontId="7" fillId="5" borderId="63" xfId="4" applyNumberFormat="1" applyFont="1" applyFill="1" applyBorder="1" applyAlignment="1">
      <alignment horizontal="center"/>
    </xf>
    <xf numFmtId="0" fontId="12" fillId="0" borderId="62" xfId="0" applyFont="1" applyBorder="1" applyAlignment="1">
      <alignment horizontal="center"/>
    </xf>
    <xf numFmtId="169" fontId="13" fillId="0" borderId="63" xfId="4" applyNumberFormat="1" applyFont="1" applyBorder="1" applyAlignment="1">
      <alignment horizontal="center"/>
    </xf>
    <xf numFmtId="168" fontId="7" fillId="4" borderId="63" xfId="1" applyNumberFormat="1" applyFont="1" applyFill="1" applyBorder="1" applyAlignment="1">
      <alignment horizontal="right"/>
    </xf>
    <xf numFmtId="1" fontId="7" fillId="0" borderId="64" xfId="4" applyNumberFormat="1" applyFont="1" applyBorder="1" applyAlignment="1">
      <alignment horizontal="center"/>
    </xf>
    <xf numFmtId="10" fontId="9" fillId="0" borderId="65" xfId="5" applyFont="1" applyBorder="1" applyAlignment="1">
      <alignment horizontal="center" vertical="center"/>
    </xf>
    <xf numFmtId="0" fontId="11" fillId="0" borderId="66" xfId="0" applyFont="1" applyBorder="1" applyAlignment="1">
      <alignment horizontal="center"/>
    </xf>
    <xf numFmtId="2" fontId="7" fillId="0" borderId="67" xfId="4" applyNumberFormat="1" applyFont="1" applyBorder="1" applyAlignment="1">
      <alignment horizontal="center"/>
    </xf>
    <xf numFmtId="0" fontId="11" fillId="4" borderId="66" xfId="0" applyFont="1" applyFill="1" applyBorder="1" applyAlignment="1">
      <alignment horizontal="center"/>
    </xf>
    <xf numFmtId="168" fontId="7" fillId="4" borderId="67" xfId="1" applyNumberFormat="1" applyFont="1" applyFill="1" applyBorder="1" applyAlignment="1">
      <alignment horizontal="center"/>
    </xf>
    <xf numFmtId="0" fontId="11" fillId="5" borderId="66" xfId="0" applyFont="1" applyFill="1" applyBorder="1" applyAlignment="1">
      <alignment horizontal="center"/>
    </xf>
    <xf numFmtId="169" fontId="7" fillId="5" borderId="67" xfId="4" applyNumberFormat="1" applyFont="1" applyFill="1" applyBorder="1" applyAlignment="1">
      <alignment horizontal="center"/>
    </xf>
    <xf numFmtId="0" fontId="12" fillId="0" borderId="66" xfId="0" applyFont="1" applyBorder="1" applyAlignment="1">
      <alignment horizontal="center"/>
    </xf>
    <xf numFmtId="169" fontId="13" fillId="0" borderId="67" xfId="4" applyNumberFormat="1" applyFont="1" applyBorder="1" applyAlignment="1">
      <alignment horizontal="center"/>
    </xf>
    <xf numFmtId="168" fontId="7" fillId="4" borderId="67" xfId="1" applyNumberFormat="1" applyFont="1" applyFill="1" applyBorder="1" applyAlignment="1">
      <alignment horizontal="right"/>
    </xf>
    <xf numFmtId="1" fontId="7" fillId="0" borderId="68" xfId="4" applyNumberFormat="1" applyFont="1" applyBorder="1" applyAlignment="1">
      <alignment horizontal="center"/>
    </xf>
    <xf numFmtId="10" fontId="9" fillId="0" borderId="69" xfId="5" applyFont="1" applyBorder="1" applyAlignment="1">
      <alignment horizontal="center" vertical="center"/>
    </xf>
    <xf numFmtId="0" fontId="11" fillId="0" borderId="70" xfId="0" applyFont="1" applyBorder="1" applyAlignment="1">
      <alignment horizontal="center"/>
    </xf>
    <xf numFmtId="2" fontId="7" fillId="0" borderId="71" xfId="4" applyNumberFormat="1" applyFont="1" applyBorder="1" applyAlignment="1">
      <alignment horizontal="center"/>
    </xf>
    <xf numFmtId="0" fontId="11" fillId="4" borderId="70" xfId="0" applyFont="1" applyFill="1" applyBorder="1" applyAlignment="1">
      <alignment horizontal="center"/>
    </xf>
    <xf numFmtId="168" fontId="7" fillId="4" borderId="71" xfId="1" applyNumberFormat="1" applyFont="1" applyFill="1" applyBorder="1" applyAlignment="1">
      <alignment horizontal="center"/>
    </xf>
    <xf numFmtId="0" fontId="11" fillId="5" borderId="70" xfId="0" applyFont="1" applyFill="1" applyBorder="1" applyAlignment="1">
      <alignment horizontal="center"/>
    </xf>
    <xf numFmtId="169" fontId="7" fillId="5" borderId="71" xfId="4" applyNumberFormat="1" applyFont="1" applyFill="1" applyBorder="1" applyAlignment="1">
      <alignment horizontal="center"/>
    </xf>
    <xf numFmtId="0" fontId="12" fillId="0" borderId="70" xfId="0" applyFont="1" applyBorder="1" applyAlignment="1">
      <alignment horizontal="center"/>
    </xf>
    <xf numFmtId="169" fontId="13" fillId="0" borderId="71" xfId="4" applyNumberFormat="1" applyFont="1" applyBorder="1" applyAlignment="1">
      <alignment horizontal="center"/>
    </xf>
    <xf numFmtId="168" fontId="7" fillId="4" borderId="71" xfId="1" applyNumberFormat="1" applyFont="1" applyFill="1" applyBorder="1" applyAlignment="1">
      <alignment horizontal="right"/>
    </xf>
    <xf numFmtId="1" fontId="7" fillId="0" borderId="72" xfId="4" applyNumberFormat="1" applyFont="1" applyBorder="1" applyAlignment="1">
      <alignment horizontal="center"/>
    </xf>
    <xf numFmtId="10" fontId="9" fillId="0" borderId="73" xfId="5" applyFont="1" applyBorder="1" applyAlignment="1">
      <alignment horizontal="center" vertical="center"/>
    </xf>
    <xf numFmtId="0" fontId="11" fillId="0" borderId="74" xfId="0" applyFont="1" applyBorder="1" applyAlignment="1">
      <alignment horizontal="center"/>
    </xf>
    <xf numFmtId="2" fontId="7" fillId="0" borderId="75" xfId="4" applyNumberFormat="1" applyFont="1" applyBorder="1" applyAlignment="1">
      <alignment horizontal="center"/>
    </xf>
    <xf numFmtId="0" fontId="11" fillId="4" borderId="74" xfId="0" applyFont="1" applyFill="1" applyBorder="1" applyAlignment="1">
      <alignment horizontal="center"/>
    </xf>
    <xf numFmtId="168" fontId="7" fillId="4" borderId="75" xfId="1" applyNumberFormat="1" applyFont="1" applyFill="1" applyBorder="1" applyAlignment="1">
      <alignment horizontal="center"/>
    </xf>
    <xf numFmtId="0" fontId="11" fillId="5" borderId="74" xfId="0" applyFont="1" applyFill="1" applyBorder="1" applyAlignment="1">
      <alignment horizontal="center"/>
    </xf>
    <xf numFmtId="169" fontId="7" fillId="5" borderId="75" xfId="4" applyNumberFormat="1" applyFont="1" applyFill="1" applyBorder="1" applyAlignment="1">
      <alignment horizontal="center"/>
    </xf>
    <xf numFmtId="0" fontId="12" fillId="0" borderId="74" xfId="0" applyFont="1" applyBorder="1" applyAlignment="1">
      <alignment horizontal="center"/>
    </xf>
    <xf numFmtId="169" fontId="13" fillId="0" borderId="75" xfId="4" applyNumberFormat="1" applyFont="1" applyBorder="1" applyAlignment="1">
      <alignment horizontal="center"/>
    </xf>
    <xf numFmtId="168" fontId="7" fillId="4" borderId="75" xfId="1" applyNumberFormat="1" applyFont="1" applyFill="1" applyBorder="1" applyAlignment="1">
      <alignment horizontal="right"/>
    </xf>
    <xf numFmtId="1" fontId="7" fillId="0" borderId="76" xfId="4" applyNumberFormat="1" applyFont="1" applyBorder="1" applyAlignment="1">
      <alignment horizontal="center"/>
    </xf>
    <xf numFmtId="10" fontId="9" fillId="0" borderId="77" xfId="5" applyFont="1" applyBorder="1" applyAlignment="1">
      <alignment horizontal="center" vertical="center"/>
    </xf>
    <xf numFmtId="0" fontId="11" fillId="0" borderId="78" xfId="0" applyFont="1" applyBorder="1" applyAlignment="1">
      <alignment horizontal="center"/>
    </xf>
    <xf numFmtId="2" fontId="7" fillId="0" borderId="79" xfId="4" applyNumberFormat="1" applyFont="1" applyBorder="1" applyAlignment="1">
      <alignment horizontal="center"/>
    </xf>
    <xf numFmtId="0" fontId="11" fillId="4" borderId="78" xfId="0" applyFont="1" applyFill="1" applyBorder="1" applyAlignment="1">
      <alignment horizontal="center"/>
    </xf>
    <xf numFmtId="168" fontId="7" fillId="4" borderId="79" xfId="1" applyNumberFormat="1" applyFont="1" applyFill="1" applyBorder="1" applyAlignment="1">
      <alignment horizontal="center"/>
    </xf>
    <xf numFmtId="0" fontId="11" fillId="5" borderId="78" xfId="0" applyFont="1" applyFill="1" applyBorder="1" applyAlignment="1">
      <alignment horizontal="center"/>
    </xf>
    <xf numFmtId="169" fontId="7" fillId="5" borderId="79" xfId="4" applyNumberFormat="1" applyFont="1" applyFill="1" applyBorder="1" applyAlignment="1">
      <alignment horizontal="center"/>
    </xf>
    <xf numFmtId="0" fontId="12" fillId="0" borderId="78" xfId="0" applyFont="1" applyBorder="1" applyAlignment="1">
      <alignment horizontal="center"/>
    </xf>
    <xf numFmtId="169" fontId="13" fillId="0" borderId="79" xfId="4" applyNumberFormat="1" applyFont="1" applyBorder="1" applyAlignment="1">
      <alignment horizontal="center"/>
    </xf>
    <xf numFmtId="168" fontId="7" fillId="4" borderId="79" xfId="1" applyNumberFormat="1" applyFont="1" applyFill="1" applyBorder="1" applyAlignment="1">
      <alignment horizontal="right"/>
    </xf>
    <xf numFmtId="1" fontId="7" fillId="0" borderId="80" xfId="4" applyNumberFormat="1" applyFont="1" applyBorder="1" applyAlignment="1">
      <alignment horizontal="center"/>
    </xf>
    <xf numFmtId="10" fontId="9" fillId="0" borderId="81" xfId="5" applyFont="1" applyBorder="1" applyAlignment="1">
      <alignment horizontal="center" vertical="center"/>
    </xf>
    <xf numFmtId="0" fontId="11" fillId="0" borderId="82" xfId="0" applyFont="1" applyBorder="1" applyAlignment="1">
      <alignment horizontal="center"/>
    </xf>
    <xf numFmtId="2" fontId="7" fillId="0" borderId="83" xfId="4" applyNumberFormat="1" applyFont="1" applyBorder="1" applyAlignment="1">
      <alignment horizontal="center"/>
    </xf>
    <xf numFmtId="0" fontId="11" fillId="4" borderId="82" xfId="0" applyFont="1" applyFill="1" applyBorder="1" applyAlignment="1">
      <alignment horizontal="center"/>
    </xf>
    <xf numFmtId="168" fontId="7" fillId="4" borderId="83" xfId="1" applyNumberFormat="1" applyFont="1" applyFill="1" applyBorder="1" applyAlignment="1">
      <alignment horizontal="center"/>
    </xf>
    <xf numFmtId="0" fontId="11" fillId="5" borderId="82" xfId="0" applyFont="1" applyFill="1" applyBorder="1" applyAlignment="1">
      <alignment horizontal="center"/>
    </xf>
    <xf numFmtId="169" fontId="7" fillId="5" borderId="83" xfId="4" applyNumberFormat="1" applyFont="1" applyFill="1" applyBorder="1" applyAlignment="1">
      <alignment horizontal="center"/>
    </xf>
    <xf numFmtId="0" fontId="12" fillId="0" borderId="82" xfId="0" applyFont="1" applyBorder="1" applyAlignment="1">
      <alignment horizontal="center"/>
    </xf>
    <xf numFmtId="169" fontId="13" fillId="0" borderId="83" xfId="4" applyNumberFormat="1" applyFont="1" applyBorder="1" applyAlignment="1">
      <alignment horizontal="center"/>
    </xf>
    <xf numFmtId="168" fontId="7" fillId="4" borderId="83" xfId="1" applyNumberFormat="1" applyFont="1" applyFill="1" applyBorder="1" applyAlignment="1">
      <alignment horizontal="right"/>
    </xf>
    <xf numFmtId="1" fontId="7" fillId="0" borderId="84" xfId="4" applyNumberFormat="1" applyFont="1" applyBorder="1" applyAlignment="1">
      <alignment horizontal="center"/>
    </xf>
    <xf numFmtId="10" fontId="9" fillId="0" borderId="85" xfId="5" applyFont="1" applyBorder="1" applyAlignment="1">
      <alignment horizontal="center" vertical="center"/>
    </xf>
    <xf numFmtId="0" fontId="11" fillId="0" borderId="86" xfId="0" applyFont="1" applyBorder="1" applyAlignment="1">
      <alignment horizontal="center"/>
    </xf>
    <xf numFmtId="2" fontId="7" fillId="0" borderId="87" xfId="4" applyNumberFormat="1" applyFont="1" applyBorder="1" applyAlignment="1">
      <alignment horizontal="center"/>
    </xf>
    <xf numFmtId="0" fontId="11" fillId="4" borderId="86" xfId="0" applyFont="1" applyFill="1" applyBorder="1" applyAlignment="1">
      <alignment horizontal="center"/>
    </xf>
    <xf numFmtId="168" fontId="7" fillId="4" borderId="87" xfId="1" applyNumberFormat="1" applyFont="1" applyFill="1" applyBorder="1" applyAlignment="1">
      <alignment horizontal="center"/>
    </xf>
    <xf numFmtId="0" fontId="11" fillId="5" borderId="86" xfId="0" applyFont="1" applyFill="1" applyBorder="1" applyAlignment="1">
      <alignment horizontal="center"/>
    </xf>
    <xf numFmtId="169" fontId="7" fillId="5" borderId="87" xfId="4" applyNumberFormat="1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169" fontId="13" fillId="0" borderId="87" xfId="4" applyNumberFormat="1" applyFont="1" applyBorder="1" applyAlignment="1">
      <alignment horizontal="center"/>
    </xf>
    <xf numFmtId="168" fontId="7" fillId="4" borderId="87" xfId="1" applyNumberFormat="1" applyFont="1" applyFill="1" applyBorder="1" applyAlignment="1">
      <alignment horizontal="right"/>
    </xf>
    <xf numFmtId="1" fontId="7" fillId="0" borderId="88" xfId="4" applyNumberFormat="1" applyFont="1" applyBorder="1" applyAlignment="1">
      <alignment horizontal="center"/>
    </xf>
    <xf numFmtId="10" fontId="9" fillId="0" borderId="89" xfId="5" applyFont="1" applyBorder="1" applyAlignment="1">
      <alignment horizontal="center" vertical="center"/>
    </xf>
    <xf numFmtId="0" fontId="11" fillId="0" borderId="90" xfId="0" applyFont="1" applyBorder="1" applyAlignment="1">
      <alignment horizontal="center"/>
    </xf>
    <xf numFmtId="2" fontId="7" fillId="0" borderId="91" xfId="4" applyNumberFormat="1" applyFont="1" applyBorder="1" applyAlignment="1">
      <alignment horizontal="center"/>
    </xf>
    <xf numFmtId="0" fontId="11" fillId="4" borderId="90" xfId="0" applyFont="1" applyFill="1" applyBorder="1" applyAlignment="1">
      <alignment horizontal="center"/>
    </xf>
    <xf numFmtId="168" fontId="7" fillId="4" borderId="91" xfId="1" applyNumberFormat="1" applyFont="1" applyFill="1" applyBorder="1" applyAlignment="1">
      <alignment horizontal="center"/>
    </xf>
    <xf numFmtId="0" fontId="11" fillId="5" borderId="90" xfId="0" applyFont="1" applyFill="1" applyBorder="1" applyAlignment="1">
      <alignment horizontal="center"/>
    </xf>
    <xf numFmtId="169" fontId="7" fillId="5" borderId="91" xfId="4" applyNumberFormat="1" applyFont="1" applyFill="1" applyBorder="1" applyAlignment="1">
      <alignment horizontal="center"/>
    </xf>
    <xf numFmtId="0" fontId="12" fillId="0" borderId="90" xfId="0" applyFont="1" applyBorder="1" applyAlignment="1">
      <alignment horizontal="center"/>
    </xf>
    <xf numFmtId="169" fontId="13" fillId="0" borderId="91" xfId="4" applyNumberFormat="1" applyFont="1" applyBorder="1" applyAlignment="1">
      <alignment horizontal="center"/>
    </xf>
    <xf numFmtId="168" fontId="7" fillId="4" borderId="91" xfId="1" applyNumberFormat="1" applyFont="1" applyFill="1" applyBorder="1" applyAlignment="1">
      <alignment horizontal="right"/>
    </xf>
    <xf numFmtId="1" fontId="7" fillId="0" borderId="92" xfId="4" applyNumberFormat="1" applyFont="1" applyBorder="1" applyAlignment="1">
      <alignment horizontal="center"/>
    </xf>
    <xf numFmtId="10" fontId="9" fillId="0" borderId="93" xfId="5" applyFont="1" applyBorder="1" applyAlignment="1">
      <alignment horizontal="center" vertical="center"/>
    </xf>
    <xf numFmtId="0" fontId="11" fillId="0" borderId="94" xfId="0" applyFont="1" applyBorder="1" applyAlignment="1">
      <alignment horizontal="center"/>
    </xf>
    <xf numFmtId="2" fontId="7" fillId="0" borderId="95" xfId="4" applyNumberFormat="1" applyFont="1" applyBorder="1" applyAlignment="1">
      <alignment horizontal="center"/>
    </xf>
    <xf numFmtId="0" fontId="11" fillId="4" borderId="94" xfId="0" applyFont="1" applyFill="1" applyBorder="1" applyAlignment="1">
      <alignment horizontal="center"/>
    </xf>
    <xf numFmtId="168" fontId="7" fillId="4" borderId="95" xfId="1" applyNumberFormat="1" applyFont="1" applyFill="1" applyBorder="1" applyAlignment="1">
      <alignment horizontal="center"/>
    </xf>
    <xf numFmtId="0" fontId="11" fillId="5" borderId="94" xfId="0" applyFont="1" applyFill="1" applyBorder="1" applyAlignment="1">
      <alignment horizontal="center"/>
    </xf>
    <xf numFmtId="169" fontId="7" fillId="5" borderId="95" xfId="4" applyNumberFormat="1" applyFont="1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169" fontId="13" fillId="0" borderId="95" xfId="4" applyNumberFormat="1" applyFont="1" applyBorder="1" applyAlignment="1">
      <alignment horizontal="center"/>
    </xf>
    <xf numFmtId="168" fontId="7" fillId="4" borderId="95" xfId="1" applyNumberFormat="1" applyFont="1" applyFill="1" applyBorder="1" applyAlignment="1">
      <alignment horizontal="right"/>
    </xf>
    <xf numFmtId="1" fontId="7" fillId="0" borderId="96" xfId="4" applyNumberFormat="1" applyFont="1" applyBorder="1" applyAlignment="1">
      <alignment horizontal="center"/>
    </xf>
    <xf numFmtId="10" fontId="9" fillId="0" borderId="97" xfId="5" applyFont="1" applyBorder="1" applyAlignment="1">
      <alignment horizontal="center" vertical="center"/>
    </xf>
    <xf numFmtId="0" fontId="11" fillId="0" borderId="98" xfId="0" applyFont="1" applyBorder="1" applyAlignment="1">
      <alignment horizontal="center"/>
    </xf>
    <xf numFmtId="2" fontId="7" fillId="0" borderId="99" xfId="4" applyNumberFormat="1" applyFont="1" applyBorder="1" applyAlignment="1">
      <alignment horizontal="center"/>
    </xf>
    <xf numFmtId="0" fontId="11" fillId="4" borderId="98" xfId="0" applyFont="1" applyFill="1" applyBorder="1" applyAlignment="1">
      <alignment horizontal="center"/>
    </xf>
    <xf numFmtId="168" fontId="7" fillId="4" borderId="99" xfId="1" applyNumberFormat="1" applyFont="1" applyFill="1" applyBorder="1" applyAlignment="1">
      <alignment horizontal="center"/>
    </xf>
    <xf numFmtId="0" fontId="11" fillId="5" borderId="98" xfId="0" applyFont="1" applyFill="1" applyBorder="1" applyAlignment="1">
      <alignment horizontal="center"/>
    </xf>
    <xf numFmtId="169" fontId="7" fillId="5" borderId="99" xfId="4" applyNumberFormat="1" applyFont="1" applyFill="1" applyBorder="1" applyAlignment="1">
      <alignment horizontal="center"/>
    </xf>
    <xf numFmtId="0" fontId="12" fillId="0" borderId="98" xfId="0" applyFont="1" applyBorder="1" applyAlignment="1">
      <alignment horizontal="center"/>
    </xf>
    <xf numFmtId="169" fontId="13" fillId="0" borderId="99" xfId="4" applyNumberFormat="1" applyFont="1" applyBorder="1" applyAlignment="1">
      <alignment horizontal="center"/>
    </xf>
    <xf numFmtId="168" fontId="7" fillId="4" borderId="99" xfId="1" applyNumberFormat="1" applyFont="1" applyFill="1" applyBorder="1" applyAlignment="1">
      <alignment horizontal="right"/>
    </xf>
    <xf numFmtId="1" fontId="7" fillId="0" borderId="100" xfId="4" applyNumberFormat="1" applyFont="1" applyBorder="1" applyAlignment="1">
      <alignment horizontal="center"/>
    </xf>
    <xf numFmtId="10" fontId="9" fillId="0" borderId="101" xfId="5" applyFont="1" applyBorder="1" applyAlignment="1">
      <alignment horizontal="center" vertical="center"/>
    </xf>
    <xf numFmtId="0" fontId="11" fillId="0" borderId="102" xfId="0" applyFont="1" applyBorder="1" applyAlignment="1">
      <alignment horizontal="center"/>
    </xf>
    <xf numFmtId="2" fontId="7" fillId="0" borderId="103" xfId="4" applyNumberFormat="1" applyFont="1" applyBorder="1" applyAlignment="1">
      <alignment horizontal="center"/>
    </xf>
    <xf numFmtId="0" fontId="11" fillId="4" borderId="102" xfId="0" applyFont="1" applyFill="1" applyBorder="1" applyAlignment="1">
      <alignment horizontal="center"/>
    </xf>
    <xf numFmtId="168" fontId="7" fillId="4" borderId="103" xfId="1" applyNumberFormat="1" applyFont="1" applyFill="1" applyBorder="1" applyAlignment="1">
      <alignment horizontal="center"/>
    </xf>
    <xf numFmtId="0" fontId="11" fillId="5" borderId="102" xfId="0" applyFont="1" applyFill="1" applyBorder="1" applyAlignment="1">
      <alignment horizontal="center"/>
    </xf>
    <xf numFmtId="169" fontId="7" fillId="5" borderId="103" xfId="4" applyNumberFormat="1" applyFont="1" applyFill="1" applyBorder="1" applyAlignment="1">
      <alignment horizontal="center"/>
    </xf>
    <xf numFmtId="0" fontId="12" fillId="0" borderId="102" xfId="0" applyFont="1" applyBorder="1" applyAlignment="1">
      <alignment horizontal="center"/>
    </xf>
    <xf numFmtId="169" fontId="13" fillId="0" borderId="103" xfId="4" applyNumberFormat="1" applyFont="1" applyBorder="1" applyAlignment="1">
      <alignment horizontal="center"/>
    </xf>
    <xf numFmtId="168" fontId="7" fillId="4" borderId="103" xfId="1" applyNumberFormat="1" applyFont="1" applyFill="1" applyBorder="1" applyAlignment="1">
      <alignment horizontal="right"/>
    </xf>
    <xf numFmtId="1" fontId="7" fillId="0" borderId="104" xfId="4" applyNumberFormat="1" applyFont="1" applyBorder="1" applyAlignment="1">
      <alignment horizontal="center"/>
    </xf>
    <xf numFmtId="10" fontId="9" fillId="0" borderId="105" xfId="5" applyFont="1" applyBorder="1" applyAlignment="1">
      <alignment horizontal="center" vertical="center"/>
    </xf>
    <xf numFmtId="0" fontId="11" fillId="0" borderId="106" xfId="0" applyFont="1" applyBorder="1" applyAlignment="1">
      <alignment horizontal="center"/>
    </xf>
    <xf numFmtId="2" fontId="7" fillId="0" borderId="107" xfId="4" applyNumberFormat="1" applyFont="1" applyBorder="1" applyAlignment="1">
      <alignment horizontal="center"/>
    </xf>
    <xf numFmtId="0" fontId="11" fillId="4" borderId="106" xfId="0" applyFont="1" applyFill="1" applyBorder="1" applyAlignment="1">
      <alignment horizontal="center"/>
    </xf>
    <xf numFmtId="168" fontId="7" fillId="4" borderId="107" xfId="1" applyNumberFormat="1" applyFont="1" applyFill="1" applyBorder="1" applyAlignment="1">
      <alignment horizontal="center"/>
    </xf>
    <xf numFmtId="0" fontId="11" fillId="5" borderId="106" xfId="0" applyFont="1" applyFill="1" applyBorder="1" applyAlignment="1">
      <alignment horizontal="center"/>
    </xf>
    <xf numFmtId="169" fontId="7" fillId="5" borderId="107" xfId="4" applyNumberFormat="1" applyFont="1" applyFill="1" applyBorder="1" applyAlignment="1">
      <alignment horizontal="center"/>
    </xf>
    <xf numFmtId="0" fontId="12" fillId="0" borderId="106" xfId="0" applyFont="1" applyBorder="1" applyAlignment="1">
      <alignment horizontal="center"/>
    </xf>
    <xf numFmtId="169" fontId="13" fillId="0" borderId="107" xfId="4" applyNumberFormat="1" applyFont="1" applyBorder="1" applyAlignment="1">
      <alignment horizontal="center"/>
    </xf>
    <xf numFmtId="168" fontId="7" fillId="4" borderId="107" xfId="1" applyNumberFormat="1" applyFont="1" applyFill="1" applyBorder="1" applyAlignment="1">
      <alignment horizontal="right"/>
    </xf>
    <xf numFmtId="1" fontId="7" fillId="0" borderId="108" xfId="4" applyNumberFormat="1" applyFont="1" applyBorder="1" applyAlignment="1">
      <alignment horizontal="center"/>
    </xf>
    <xf numFmtId="10" fontId="9" fillId="0" borderId="109" xfId="5" applyFont="1" applyBorder="1" applyAlignment="1">
      <alignment horizontal="center" vertical="center"/>
    </xf>
    <xf numFmtId="0" fontId="11" fillId="0" borderId="110" xfId="0" applyFont="1" applyBorder="1" applyAlignment="1">
      <alignment horizontal="center"/>
    </xf>
    <xf numFmtId="2" fontId="7" fillId="0" borderId="111" xfId="4" applyNumberFormat="1" applyFont="1" applyBorder="1" applyAlignment="1">
      <alignment horizontal="center"/>
    </xf>
    <xf numFmtId="0" fontId="11" fillId="4" borderId="110" xfId="0" applyFont="1" applyFill="1" applyBorder="1" applyAlignment="1">
      <alignment horizontal="center"/>
    </xf>
    <xf numFmtId="168" fontId="7" fillId="4" borderId="111" xfId="1" applyNumberFormat="1" applyFont="1" applyFill="1" applyBorder="1" applyAlignment="1">
      <alignment horizontal="center"/>
    </xf>
    <xf numFmtId="0" fontId="11" fillId="5" borderId="110" xfId="0" applyFont="1" applyFill="1" applyBorder="1" applyAlignment="1">
      <alignment horizontal="center"/>
    </xf>
    <xf numFmtId="169" fontId="7" fillId="5" borderId="111" xfId="4" applyNumberFormat="1" applyFont="1" applyFill="1" applyBorder="1" applyAlignment="1">
      <alignment horizontal="center"/>
    </xf>
    <xf numFmtId="0" fontId="12" fillId="0" borderId="110" xfId="0" applyFont="1" applyBorder="1" applyAlignment="1">
      <alignment horizontal="center"/>
    </xf>
    <xf numFmtId="169" fontId="13" fillId="0" borderId="111" xfId="4" applyNumberFormat="1" applyFont="1" applyBorder="1" applyAlignment="1">
      <alignment horizontal="center"/>
    </xf>
    <xf numFmtId="168" fontId="7" fillId="4" borderId="111" xfId="1" applyNumberFormat="1" applyFont="1" applyFill="1" applyBorder="1" applyAlignment="1">
      <alignment horizontal="right"/>
    </xf>
    <xf numFmtId="1" fontId="7" fillId="0" borderId="112" xfId="4" applyNumberFormat="1" applyFont="1" applyBorder="1" applyAlignment="1">
      <alignment horizontal="center"/>
    </xf>
    <xf numFmtId="10" fontId="9" fillId="0" borderId="113" xfId="5" applyFont="1" applyBorder="1" applyAlignment="1">
      <alignment horizontal="center" vertical="center"/>
    </xf>
    <xf numFmtId="0" fontId="11" fillId="0" borderId="114" xfId="0" applyFont="1" applyBorder="1" applyAlignment="1">
      <alignment horizontal="center"/>
    </xf>
    <xf numFmtId="2" fontId="7" fillId="0" borderId="115" xfId="4" applyNumberFormat="1" applyFont="1" applyBorder="1" applyAlignment="1">
      <alignment horizontal="center"/>
    </xf>
    <xf numFmtId="0" fontId="11" fillId="4" borderId="114" xfId="0" applyFont="1" applyFill="1" applyBorder="1" applyAlignment="1">
      <alignment horizontal="center"/>
    </xf>
    <xf numFmtId="168" fontId="7" fillId="4" borderId="115" xfId="1" applyNumberFormat="1" applyFont="1" applyFill="1" applyBorder="1" applyAlignment="1">
      <alignment horizontal="center"/>
    </xf>
    <xf numFmtId="0" fontId="11" fillId="5" borderId="114" xfId="0" applyFont="1" applyFill="1" applyBorder="1" applyAlignment="1">
      <alignment horizontal="center"/>
    </xf>
    <xf numFmtId="169" fontId="7" fillId="5" borderId="115" xfId="4" applyNumberFormat="1" applyFont="1" applyFill="1" applyBorder="1" applyAlignment="1">
      <alignment horizontal="center"/>
    </xf>
    <xf numFmtId="0" fontId="12" fillId="0" borderId="114" xfId="0" applyFont="1" applyBorder="1" applyAlignment="1">
      <alignment horizontal="center"/>
    </xf>
    <xf numFmtId="169" fontId="13" fillId="0" borderId="115" xfId="4" applyNumberFormat="1" applyFont="1" applyBorder="1" applyAlignment="1">
      <alignment horizontal="center"/>
    </xf>
    <xf numFmtId="168" fontId="7" fillId="4" borderId="115" xfId="1" applyNumberFormat="1" applyFont="1" applyFill="1" applyBorder="1" applyAlignment="1">
      <alignment horizontal="right"/>
    </xf>
    <xf numFmtId="1" fontId="7" fillId="0" borderId="116" xfId="4" applyNumberFormat="1" applyFont="1" applyBorder="1" applyAlignment="1">
      <alignment horizontal="center"/>
    </xf>
    <xf numFmtId="10" fontId="9" fillId="0" borderId="117" xfId="5" applyFont="1" applyBorder="1" applyAlignment="1">
      <alignment horizontal="center" vertical="center"/>
    </xf>
    <xf numFmtId="0" fontId="11" fillId="0" borderId="118" xfId="0" applyFont="1" applyBorder="1" applyAlignment="1">
      <alignment horizontal="center"/>
    </xf>
    <xf numFmtId="2" fontId="7" fillId="0" borderId="119" xfId="4" applyNumberFormat="1" applyFont="1" applyBorder="1" applyAlignment="1">
      <alignment horizontal="center"/>
    </xf>
    <xf numFmtId="0" fontId="11" fillId="4" borderId="118" xfId="0" applyFont="1" applyFill="1" applyBorder="1" applyAlignment="1">
      <alignment horizontal="center"/>
    </xf>
    <xf numFmtId="168" fontId="7" fillId="4" borderId="119" xfId="1" applyNumberFormat="1" applyFont="1" applyFill="1" applyBorder="1" applyAlignment="1">
      <alignment horizontal="center"/>
    </xf>
    <xf numFmtId="0" fontId="11" fillId="5" borderId="118" xfId="0" applyFont="1" applyFill="1" applyBorder="1" applyAlignment="1">
      <alignment horizontal="center"/>
    </xf>
    <xf numFmtId="169" fontId="7" fillId="5" borderId="119" xfId="4" applyNumberFormat="1" applyFont="1" applyFill="1" applyBorder="1" applyAlignment="1">
      <alignment horizontal="center"/>
    </xf>
    <xf numFmtId="0" fontId="12" fillId="0" borderId="118" xfId="0" applyFont="1" applyBorder="1" applyAlignment="1">
      <alignment horizontal="center"/>
    </xf>
    <xf numFmtId="169" fontId="13" fillId="0" borderId="119" xfId="4" applyNumberFormat="1" applyFont="1" applyBorder="1" applyAlignment="1">
      <alignment horizontal="center"/>
    </xf>
    <xf numFmtId="168" fontId="7" fillId="4" borderId="119" xfId="1" applyNumberFormat="1" applyFont="1" applyFill="1" applyBorder="1" applyAlignment="1">
      <alignment horizontal="right"/>
    </xf>
    <xf numFmtId="1" fontId="7" fillId="0" borderId="120" xfId="4" applyNumberFormat="1" applyFont="1" applyBorder="1" applyAlignment="1">
      <alignment horizontal="center"/>
    </xf>
    <xf numFmtId="10" fontId="9" fillId="0" borderId="121" xfId="5" applyFont="1" applyBorder="1" applyAlignment="1">
      <alignment horizontal="center" vertical="center"/>
    </xf>
    <xf numFmtId="0" fontId="11" fillId="0" borderId="122" xfId="0" applyFont="1" applyBorder="1" applyAlignment="1">
      <alignment horizontal="center"/>
    </xf>
    <xf numFmtId="2" fontId="7" fillId="0" borderId="123" xfId="4" applyNumberFormat="1" applyFont="1" applyBorder="1" applyAlignment="1">
      <alignment horizontal="center"/>
    </xf>
    <xf numFmtId="0" fontId="11" fillId="4" borderId="122" xfId="0" applyFont="1" applyFill="1" applyBorder="1" applyAlignment="1">
      <alignment horizontal="center"/>
    </xf>
    <xf numFmtId="168" fontId="7" fillId="4" borderId="123" xfId="1" applyNumberFormat="1" applyFont="1" applyFill="1" applyBorder="1" applyAlignment="1">
      <alignment horizontal="center"/>
    </xf>
    <xf numFmtId="0" fontId="11" fillId="5" borderId="122" xfId="0" applyFont="1" applyFill="1" applyBorder="1" applyAlignment="1">
      <alignment horizontal="center"/>
    </xf>
    <xf numFmtId="169" fontId="7" fillId="5" borderId="123" xfId="4" applyNumberFormat="1" applyFont="1" applyFill="1" applyBorder="1" applyAlignment="1">
      <alignment horizontal="center"/>
    </xf>
    <xf numFmtId="0" fontId="12" fillId="0" borderId="122" xfId="0" applyFont="1" applyBorder="1" applyAlignment="1">
      <alignment horizontal="center"/>
    </xf>
    <xf numFmtId="169" fontId="13" fillId="0" borderId="123" xfId="4" applyNumberFormat="1" applyFont="1" applyBorder="1" applyAlignment="1">
      <alignment horizontal="center"/>
    </xf>
    <xf numFmtId="168" fontId="7" fillId="4" borderId="123" xfId="1" applyNumberFormat="1" applyFont="1" applyFill="1" applyBorder="1" applyAlignment="1">
      <alignment horizontal="right"/>
    </xf>
    <xf numFmtId="1" fontId="7" fillId="0" borderId="124" xfId="4" applyNumberFormat="1" applyFont="1" applyBorder="1" applyAlignment="1">
      <alignment horizontal="center"/>
    </xf>
    <xf numFmtId="10" fontId="9" fillId="0" borderId="125" xfId="5" applyFont="1" applyBorder="1" applyAlignment="1">
      <alignment horizontal="center" vertical="center"/>
    </xf>
    <xf numFmtId="0" fontId="11" fillId="0" borderId="126" xfId="0" applyFont="1" applyBorder="1" applyAlignment="1">
      <alignment horizontal="center"/>
    </xf>
    <xf numFmtId="2" fontId="7" fillId="0" borderId="127" xfId="4" applyNumberFormat="1" applyFont="1" applyBorder="1" applyAlignment="1">
      <alignment horizontal="center"/>
    </xf>
    <xf numFmtId="0" fontId="11" fillId="4" borderId="126" xfId="0" applyFont="1" applyFill="1" applyBorder="1" applyAlignment="1">
      <alignment horizontal="center"/>
    </xf>
    <xf numFmtId="168" fontId="7" fillId="4" borderId="127" xfId="1" applyNumberFormat="1" applyFont="1" applyFill="1" applyBorder="1" applyAlignment="1">
      <alignment horizontal="center"/>
    </xf>
    <xf numFmtId="0" fontId="11" fillId="5" borderId="126" xfId="0" applyFont="1" applyFill="1" applyBorder="1" applyAlignment="1">
      <alignment horizontal="center"/>
    </xf>
    <xf numFmtId="169" fontId="7" fillId="5" borderId="127" xfId="4" applyNumberFormat="1" applyFont="1" applyFill="1" applyBorder="1" applyAlignment="1">
      <alignment horizontal="center"/>
    </xf>
    <xf numFmtId="0" fontId="12" fillId="0" borderId="126" xfId="0" applyFont="1" applyBorder="1" applyAlignment="1">
      <alignment horizontal="center"/>
    </xf>
    <xf numFmtId="169" fontId="13" fillId="0" borderId="127" xfId="4" applyNumberFormat="1" applyFont="1" applyBorder="1" applyAlignment="1">
      <alignment horizontal="center"/>
    </xf>
    <xf numFmtId="168" fontId="7" fillId="4" borderId="127" xfId="1" applyNumberFormat="1" applyFont="1" applyFill="1" applyBorder="1" applyAlignment="1">
      <alignment horizontal="right"/>
    </xf>
    <xf numFmtId="1" fontId="7" fillId="0" borderId="128" xfId="4" applyNumberFormat="1" applyFont="1" applyBorder="1" applyAlignment="1">
      <alignment horizontal="center"/>
    </xf>
    <xf numFmtId="10" fontId="9" fillId="0" borderId="129" xfId="5" applyFont="1" applyBorder="1" applyAlignment="1">
      <alignment horizontal="center" vertical="center"/>
    </xf>
    <xf numFmtId="0" fontId="11" fillId="0" borderId="130" xfId="0" applyFont="1" applyBorder="1" applyAlignment="1">
      <alignment horizontal="center"/>
    </xf>
    <xf numFmtId="2" fontId="7" fillId="0" borderId="131" xfId="4" applyNumberFormat="1" applyFont="1" applyBorder="1" applyAlignment="1">
      <alignment horizontal="center"/>
    </xf>
    <xf numFmtId="0" fontId="11" fillId="4" borderId="130" xfId="0" applyFont="1" applyFill="1" applyBorder="1" applyAlignment="1">
      <alignment horizontal="center"/>
    </xf>
    <xf numFmtId="168" fontId="7" fillId="4" borderId="131" xfId="1" applyNumberFormat="1" applyFont="1" applyFill="1" applyBorder="1" applyAlignment="1">
      <alignment horizontal="center"/>
    </xf>
    <xf numFmtId="0" fontId="11" fillId="5" borderId="130" xfId="0" applyFont="1" applyFill="1" applyBorder="1" applyAlignment="1">
      <alignment horizontal="center"/>
    </xf>
    <xf numFmtId="169" fontId="7" fillId="5" borderId="131" xfId="4" applyNumberFormat="1" applyFont="1" applyFill="1" applyBorder="1" applyAlignment="1">
      <alignment horizontal="center"/>
    </xf>
    <xf numFmtId="0" fontId="12" fillId="0" borderId="130" xfId="0" applyFont="1" applyBorder="1" applyAlignment="1">
      <alignment horizontal="center"/>
    </xf>
    <xf numFmtId="169" fontId="13" fillId="0" borderId="131" xfId="4" applyNumberFormat="1" applyFont="1" applyBorder="1" applyAlignment="1">
      <alignment horizontal="center"/>
    </xf>
    <xf numFmtId="168" fontId="7" fillId="4" borderId="131" xfId="1" applyNumberFormat="1" applyFont="1" applyFill="1" applyBorder="1" applyAlignment="1">
      <alignment horizontal="right"/>
    </xf>
    <xf numFmtId="1" fontId="7" fillId="0" borderId="132" xfId="4" applyNumberFormat="1" applyFont="1" applyBorder="1" applyAlignment="1">
      <alignment horizontal="center"/>
    </xf>
    <xf numFmtId="10" fontId="9" fillId="0" borderId="133" xfId="5" applyFont="1" applyBorder="1" applyAlignment="1">
      <alignment horizontal="center" vertical="center"/>
    </xf>
    <xf numFmtId="0" fontId="11" fillId="0" borderId="134" xfId="0" applyFont="1" applyBorder="1" applyAlignment="1">
      <alignment horizontal="center"/>
    </xf>
    <xf numFmtId="2" fontId="7" fillId="0" borderId="135" xfId="4" applyNumberFormat="1" applyFont="1" applyBorder="1" applyAlignment="1">
      <alignment horizontal="center"/>
    </xf>
    <xf numFmtId="0" fontId="11" fillId="4" borderId="134" xfId="0" applyFont="1" applyFill="1" applyBorder="1" applyAlignment="1">
      <alignment horizontal="center"/>
    </xf>
    <xf numFmtId="168" fontId="7" fillId="4" borderId="135" xfId="1" applyNumberFormat="1" applyFont="1" applyFill="1" applyBorder="1" applyAlignment="1">
      <alignment horizontal="center"/>
    </xf>
    <xf numFmtId="0" fontId="11" fillId="5" borderId="134" xfId="0" applyFont="1" applyFill="1" applyBorder="1" applyAlignment="1">
      <alignment horizontal="center"/>
    </xf>
    <xf numFmtId="169" fontId="7" fillId="5" borderId="135" xfId="4" applyNumberFormat="1" applyFont="1" applyFill="1" applyBorder="1" applyAlignment="1">
      <alignment horizontal="center"/>
    </xf>
    <xf numFmtId="0" fontId="12" fillId="0" borderId="134" xfId="0" applyFont="1" applyBorder="1" applyAlignment="1">
      <alignment horizontal="center"/>
    </xf>
    <xf numFmtId="169" fontId="13" fillId="0" borderId="135" xfId="4" applyNumberFormat="1" applyFont="1" applyBorder="1" applyAlignment="1">
      <alignment horizontal="center"/>
    </xf>
    <xf numFmtId="168" fontId="7" fillId="4" borderId="135" xfId="1" applyNumberFormat="1" applyFont="1" applyFill="1" applyBorder="1" applyAlignment="1">
      <alignment horizontal="right"/>
    </xf>
    <xf numFmtId="1" fontId="7" fillId="0" borderId="136" xfId="4" applyNumberFormat="1" applyFont="1" applyBorder="1" applyAlignment="1">
      <alignment horizontal="center"/>
    </xf>
    <xf numFmtId="10" fontId="9" fillId="0" borderId="137" xfId="5" applyFont="1" applyBorder="1" applyAlignment="1">
      <alignment horizontal="center" vertical="center"/>
    </xf>
    <xf numFmtId="0" fontId="11" fillId="0" borderId="138" xfId="0" applyFont="1" applyBorder="1" applyAlignment="1">
      <alignment horizontal="center"/>
    </xf>
    <xf numFmtId="2" fontId="7" fillId="0" borderId="139" xfId="4" applyNumberFormat="1" applyFont="1" applyBorder="1" applyAlignment="1">
      <alignment horizontal="center"/>
    </xf>
    <xf numFmtId="0" fontId="11" fillId="4" borderId="138" xfId="0" applyFont="1" applyFill="1" applyBorder="1" applyAlignment="1">
      <alignment horizontal="center"/>
    </xf>
    <xf numFmtId="168" fontId="7" fillId="4" borderId="139" xfId="1" applyNumberFormat="1" applyFont="1" applyFill="1" applyBorder="1" applyAlignment="1">
      <alignment horizontal="center"/>
    </xf>
    <xf numFmtId="0" fontId="11" fillId="5" borderId="138" xfId="0" applyFont="1" applyFill="1" applyBorder="1" applyAlignment="1">
      <alignment horizontal="center"/>
    </xf>
    <xf numFmtId="169" fontId="7" fillId="5" borderId="139" xfId="4" applyNumberFormat="1" applyFont="1" applyFill="1" applyBorder="1" applyAlignment="1">
      <alignment horizontal="center"/>
    </xf>
    <xf numFmtId="0" fontId="12" fillId="0" borderId="138" xfId="0" applyFont="1" applyBorder="1" applyAlignment="1">
      <alignment horizontal="center"/>
    </xf>
    <xf numFmtId="169" fontId="13" fillId="0" borderId="139" xfId="4" applyNumberFormat="1" applyFont="1" applyBorder="1" applyAlignment="1">
      <alignment horizontal="center"/>
    </xf>
    <xf numFmtId="168" fontId="7" fillId="4" borderId="139" xfId="1" applyNumberFormat="1" applyFont="1" applyFill="1" applyBorder="1" applyAlignment="1">
      <alignment horizontal="right"/>
    </xf>
    <xf numFmtId="1" fontId="7" fillId="0" borderId="140" xfId="4" applyNumberFormat="1" applyFont="1" applyBorder="1" applyAlignment="1">
      <alignment horizontal="center"/>
    </xf>
    <xf numFmtId="10" fontId="9" fillId="0" borderId="141" xfId="5" applyFont="1" applyBorder="1" applyAlignment="1">
      <alignment horizontal="center" vertical="center"/>
    </xf>
    <xf numFmtId="0" fontId="11" fillId="0" borderId="142" xfId="0" applyFont="1" applyBorder="1" applyAlignment="1">
      <alignment horizontal="center"/>
    </xf>
    <xf numFmtId="2" fontId="7" fillId="0" borderId="143" xfId="4" applyNumberFormat="1" applyFont="1" applyBorder="1" applyAlignment="1">
      <alignment horizontal="center"/>
    </xf>
    <xf numFmtId="0" fontId="11" fillId="4" borderId="142" xfId="0" applyFont="1" applyFill="1" applyBorder="1" applyAlignment="1">
      <alignment horizontal="center"/>
    </xf>
    <xf numFmtId="168" fontId="7" fillId="4" borderId="143" xfId="1" applyNumberFormat="1" applyFont="1" applyFill="1" applyBorder="1" applyAlignment="1">
      <alignment horizontal="center"/>
    </xf>
    <xf numFmtId="0" fontId="11" fillId="5" borderId="142" xfId="0" applyFont="1" applyFill="1" applyBorder="1" applyAlignment="1">
      <alignment horizontal="center"/>
    </xf>
    <xf numFmtId="169" fontId="7" fillId="5" borderId="143" xfId="4" applyNumberFormat="1" applyFont="1" applyFill="1" applyBorder="1" applyAlignment="1">
      <alignment horizontal="center"/>
    </xf>
    <xf numFmtId="0" fontId="12" fillId="0" borderId="142" xfId="0" applyFont="1" applyBorder="1" applyAlignment="1">
      <alignment horizontal="center"/>
    </xf>
    <xf numFmtId="169" fontId="13" fillId="0" borderId="143" xfId="4" applyNumberFormat="1" applyFont="1" applyBorder="1" applyAlignment="1">
      <alignment horizontal="center"/>
    </xf>
    <xf numFmtId="168" fontId="7" fillId="4" borderId="143" xfId="1" applyNumberFormat="1" applyFont="1" applyFill="1" applyBorder="1" applyAlignment="1">
      <alignment horizontal="right"/>
    </xf>
    <xf numFmtId="1" fontId="7" fillId="0" borderId="144" xfId="4" applyNumberFormat="1" applyFont="1" applyBorder="1" applyAlignment="1">
      <alignment horizontal="center"/>
    </xf>
    <xf numFmtId="10" fontId="9" fillId="0" borderId="145" xfId="5" applyFont="1" applyBorder="1" applyAlignment="1">
      <alignment horizontal="center" vertical="center"/>
    </xf>
    <xf numFmtId="0" fontId="11" fillId="0" borderId="146" xfId="0" applyFont="1" applyBorder="1" applyAlignment="1">
      <alignment horizontal="center"/>
    </xf>
    <xf numFmtId="2" fontId="7" fillId="0" borderId="147" xfId="4" applyNumberFormat="1" applyFont="1" applyBorder="1" applyAlignment="1">
      <alignment horizontal="center"/>
    </xf>
    <xf numFmtId="0" fontId="11" fillId="4" borderId="146" xfId="0" applyFont="1" applyFill="1" applyBorder="1" applyAlignment="1">
      <alignment horizontal="center"/>
    </xf>
    <xf numFmtId="168" fontId="7" fillId="4" borderId="147" xfId="1" applyNumberFormat="1" applyFont="1" applyFill="1" applyBorder="1" applyAlignment="1">
      <alignment horizontal="center"/>
    </xf>
    <xf numFmtId="0" fontId="11" fillId="5" borderId="146" xfId="0" applyFont="1" applyFill="1" applyBorder="1" applyAlignment="1">
      <alignment horizontal="center"/>
    </xf>
    <xf numFmtId="169" fontId="7" fillId="5" borderId="147" xfId="4" applyNumberFormat="1" applyFont="1" applyFill="1" applyBorder="1" applyAlignment="1">
      <alignment horizontal="center"/>
    </xf>
    <xf numFmtId="0" fontId="12" fillId="0" borderId="146" xfId="0" applyFont="1" applyBorder="1" applyAlignment="1">
      <alignment horizontal="center"/>
    </xf>
    <xf numFmtId="169" fontId="13" fillId="0" borderId="147" xfId="4" applyNumberFormat="1" applyFont="1" applyBorder="1" applyAlignment="1">
      <alignment horizontal="center"/>
    </xf>
    <xf numFmtId="168" fontId="7" fillId="4" borderId="147" xfId="1" applyNumberFormat="1" applyFont="1" applyFill="1" applyBorder="1" applyAlignment="1">
      <alignment horizontal="right"/>
    </xf>
    <xf numFmtId="1" fontId="7" fillId="0" borderId="148" xfId="4" applyNumberFormat="1" applyFont="1" applyBorder="1" applyAlignment="1">
      <alignment horizontal="center"/>
    </xf>
    <xf numFmtId="10" fontId="9" fillId="0" borderId="149" xfId="5" applyFont="1" applyBorder="1" applyAlignment="1">
      <alignment horizontal="center" vertical="center"/>
    </xf>
    <xf numFmtId="0" fontId="11" fillId="0" borderId="150" xfId="0" applyFont="1" applyBorder="1" applyAlignment="1">
      <alignment horizontal="center"/>
    </xf>
    <xf numFmtId="2" fontId="7" fillId="0" borderId="151" xfId="4" applyNumberFormat="1" applyFont="1" applyBorder="1" applyAlignment="1">
      <alignment horizontal="center"/>
    </xf>
    <xf numFmtId="0" fontId="11" fillId="4" borderId="150" xfId="0" applyFont="1" applyFill="1" applyBorder="1" applyAlignment="1">
      <alignment horizontal="center"/>
    </xf>
    <xf numFmtId="168" fontId="7" fillId="4" borderId="151" xfId="1" applyNumberFormat="1" applyFont="1" applyFill="1" applyBorder="1" applyAlignment="1">
      <alignment horizontal="center"/>
    </xf>
    <xf numFmtId="0" fontId="11" fillId="5" borderId="150" xfId="0" applyFont="1" applyFill="1" applyBorder="1" applyAlignment="1">
      <alignment horizontal="center"/>
    </xf>
    <xf numFmtId="169" fontId="7" fillId="5" borderId="151" xfId="4" applyNumberFormat="1" applyFont="1" applyFill="1" applyBorder="1" applyAlignment="1">
      <alignment horizontal="center"/>
    </xf>
    <xf numFmtId="0" fontId="12" fillId="0" borderId="150" xfId="0" applyFont="1" applyBorder="1" applyAlignment="1">
      <alignment horizontal="center"/>
    </xf>
    <xf numFmtId="169" fontId="13" fillId="0" borderId="151" xfId="4" applyNumberFormat="1" applyFont="1" applyBorder="1" applyAlignment="1">
      <alignment horizontal="center"/>
    </xf>
    <xf numFmtId="168" fontId="7" fillId="4" borderId="151" xfId="1" applyNumberFormat="1" applyFont="1" applyFill="1" applyBorder="1" applyAlignment="1">
      <alignment horizontal="right"/>
    </xf>
    <xf numFmtId="1" fontId="7" fillId="0" borderId="152" xfId="4" applyNumberFormat="1" applyFont="1" applyBorder="1" applyAlignment="1">
      <alignment horizontal="center"/>
    </xf>
    <xf numFmtId="10" fontId="9" fillId="0" borderId="153" xfId="5" applyFont="1" applyBorder="1" applyAlignment="1">
      <alignment horizontal="center" vertical="center"/>
    </xf>
    <xf numFmtId="0" fontId="11" fillId="0" borderId="154" xfId="0" applyFont="1" applyBorder="1" applyAlignment="1">
      <alignment horizontal="center"/>
    </xf>
    <xf numFmtId="2" fontId="7" fillId="0" borderId="155" xfId="4" applyNumberFormat="1" applyFont="1" applyBorder="1" applyAlignment="1">
      <alignment horizontal="center"/>
    </xf>
    <xf numFmtId="0" fontId="11" fillId="4" borderId="154" xfId="0" applyFont="1" applyFill="1" applyBorder="1" applyAlignment="1">
      <alignment horizontal="center"/>
    </xf>
    <xf numFmtId="168" fontId="7" fillId="4" borderId="155" xfId="1" applyNumberFormat="1" applyFont="1" applyFill="1" applyBorder="1" applyAlignment="1">
      <alignment horizontal="center"/>
    </xf>
    <xf numFmtId="0" fontId="11" fillId="5" borderId="154" xfId="0" applyFont="1" applyFill="1" applyBorder="1" applyAlignment="1">
      <alignment horizontal="center"/>
    </xf>
    <xf numFmtId="169" fontId="7" fillId="5" borderId="155" xfId="4" applyNumberFormat="1" applyFont="1" applyFill="1" applyBorder="1" applyAlignment="1">
      <alignment horizontal="center"/>
    </xf>
    <xf numFmtId="0" fontId="12" fillId="0" borderId="154" xfId="0" applyFont="1" applyBorder="1" applyAlignment="1">
      <alignment horizontal="center"/>
    </xf>
    <xf numFmtId="169" fontId="13" fillId="0" borderId="155" xfId="4" applyNumberFormat="1" applyFont="1" applyBorder="1" applyAlignment="1">
      <alignment horizontal="center"/>
    </xf>
    <xf numFmtId="168" fontId="7" fillId="4" borderId="155" xfId="1" applyNumberFormat="1" applyFont="1" applyFill="1" applyBorder="1" applyAlignment="1">
      <alignment horizontal="right"/>
    </xf>
    <xf numFmtId="1" fontId="7" fillId="0" borderId="156" xfId="4" applyNumberFormat="1" applyFont="1" applyBorder="1" applyAlignment="1">
      <alignment horizontal="center"/>
    </xf>
    <xf numFmtId="10" fontId="9" fillId="0" borderId="157" xfId="5" applyFont="1" applyBorder="1" applyAlignment="1">
      <alignment horizontal="center" vertical="center"/>
    </xf>
    <xf numFmtId="0" fontId="11" fillId="0" borderId="158" xfId="0" applyFont="1" applyBorder="1" applyAlignment="1">
      <alignment horizontal="center"/>
    </xf>
    <xf numFmtId="2" fontId="7" fillId="0" borderId="159" xfId="4" applyNumberFormat="1" applyFont="1" applyBorder="1" applyAlignment="1">
      <alignment horizontal="center"/>
    </xf>
    <xf numFmtId="0" fontId="11" fillId="4" borderId="158" xfId="0" applyFont="1" applyFill="1" applyBorder="1" applyAlignment="1">
      <alignment horizontal="center"/>
    </xf>
    <xf numFmtId="168" fontId="7" fillId="4" borderId="159" xfId="1" applyNumberFormat="1" applyFont="1" applyFill="1" applyBorder="1" applyAlignment="1">
      <alignment horizontal="center"/>
    </xf>
    <xf numFmtId="0" fontId="11" fillId="5" borderId="158" xfId="0" applyFont="1" applyFill="1" applyBorder="1" applyAlignment="1">
      <alignment horizontal="center"/>
    </xf>
    <xf numFmtId="169" fontId="7" fillId="5" borderId="159" xfId="4" applyNumberFormat="1" applyFont="1" applyFill="1" applyBorder="1" applyAlignment="1">
      <alignment horizontal="center"/>
    </xf>
    <xf numFmtId="0" fontId="12" fillId="0" borderId="158" xfId="0" applyFont="1" applyBorder="1" applyAlignment="1">
      <alignment horizontal="center"/>
    </xf>
    <xf numFmtId="169" fontId="13" fillId="0" borderId="159" xfId="4" applyNumberFormat="1" applyFont="1" applyBorder="1" applyAlignment="1">
      <alignment horizontal="center"/>
    </xf>
    <xf numFmtId="168" fontId="7" fillId="4" borderId="159" xfId="1" applyNumberFormat="1" applyFont="1" applyFill="1" applyBorder="1" applyAlignment="1">
      <alignment horizontal="right"/>
    </xf>
    <xf numFmtId="1" fontId="7" fillId="0" borderId="160" xfId="4" applyNumberFormat="1" applyFont="1" applyBorder="1" applyAlignment="1">
      <alignment horizontal="center"/>
    </xf>
    <xf numFmtId="10" fontId="9" fillId="0" borderId="161" xfId="5" applyFont="1" applyBorder="1" applyAlignment="1">
      <alignment horizontal="center" vertical="center"/>
    </xf>
    <xf numFmtId="0" fontId="11" fillId="0" borderId="162" xfId="0" applyFont="1" applyBorder="1" applyAlignment="1">
      <alignment horizontal="center"/>
    </xf>
    <xf numFmtId="2" fontId="7" fillId="0" borderId="163" xfId="4" applyNumberFormat="1" applyFont="1" applyBorder="1" applyAlignment="1">
      <alignment horizontal="center"/>
    </xf>
    <xf numFmtId="0" fontId="11" fillId="4" borderId="162" xfId="0" applyFont="1" applyFill="1" applyBorder="1" applyAlignment="1">
      <alignment horizontal="center"/>
    </xf>
    <xf numFmtId="168" fontId="7" fillId="4" borderId="163" xfId="1" applyNumberFormat="1" applyFont="1" applyFill="1" applyBorder="1" applyAlignment="1">
      <alignment horizontal="center"/>
    </xf>
    <xf numFmtId="0" fontId="11" fillId="5" borderId="162" xfId="0" applyFont="1" applyFill="1" applyBorder="1" applyAlignment="1">
      <alignment horizontal="center"/>
    </xf>
    <xf numFmtId="169" fontId="7" fillId="5" borderId="163" xfId="4" applyNumberFormat="1" applyFont="1" applyFill="1" applyBorder="1" applyAlignment="1">
      <alignment horizontal="center"/>
    </xf>
    <xf numFmtId="0" fontId="12" fillId="0" borderId="162" xfId="0" applyFont="1" applyBorder="1" applyAlignment="1">
      <alignment horizontal="center"/>
    </xf>
    <xf numFmtId="169" fontId="13" fillId="0" borderId="163" xfId="4" applyNumberFormat="1" applyFont="1" applyBorder="1" applyAlignment="1">
      <alignment horizontal="center"/>
    </xf>
    <xf numFmtId="168" fontId="7" fillId="4" borderId="163" xfId="1" applyNumberFormat="1" applyFont="1" applyFill="1" applyBorder="1" applyAlignment="1">
      <alignment horizontal="right"/>
    </xf>
    <xf numFmtId="1" fontId="7" fillId="0" borderId="164" xfId="4" applyNumberFormat="1" applyFont="1" applyBorder="1" applyAlignment="1">
      <alignment horizontal="center"/>
    </xf>
    <xf numFmtId="10" fontId="9" fillId="0" borderId="165" xfId="5" applyFont="1" applyBorder="1" applyAlignment="1">
      <alignment horizontal="center" vertical="center"/>
    </xf>
    <xf numFmtId="0" fontId="11" fillId="0" borderId="166" xfId="0" applyFont="1" applyBorder="1" applyAlignment="1">
      <alignment horizontal="center"/>
    </xf>
    <xf numFmtId="2" fontId="7" fillId="0" borderId="167" xfId="4" applyNumberFormat="1" applyFont="1" applyBorder="1" applyAlignment="1">
      <alignment horizontal="center"/>
    </xf>
    <xf numFmtId="0" fontId="11" fillId="4" borderId="166" xfId="0" applyFont="1" applyFill="1" applyBorder="1" applyAlignment="1">
      <alignment horizontal="center"/>
    </xf>
    <xf numFmtId="168" fontId="7" fillId="4" borderId="167" xfId="1" applyNumberFormat="1" applyFont="1" applyFill="1" applyBorder="1" applyAlignment="1">
      <alignment horizontal="center"/>
    </xf>
    <xf numFmtId="0" fontId="11" fillId="5" borderId="166" xfId="0" applyFont="1" applyFill="1" applyBorder="1" applyAlignment="1">
      <alignment horizontal="center"/>
    </xf>
    <xf numFmtId="169" fontId="7" fillId="5" borderId="167" xfId="4" applyNumberFormat="1" applyFont="1" applyFill="1" applyBorder="1" applyAlignment="1">
      <alignment horizontal="center"/>
    </xf>
    <xf numFmtId="0" fontId="12" fillId="0" borderId="166" xfId="0" applyFont="1" applyBorder="1" applyAlignment="1">
      <alignment horizontal="center"/>
    </xf>
    <xf numFmtId="169" fontId="13" fillId="0" borderId="167" xfId="4" applyNumberFormat="1" applyFont="1" applyBorder="1" applyAlignment="1">
      <alignment horizontal="center"/>
    </xf>
    <xf numFmtId="168" fontId="7" fillId="4" borderId="167" xfId="1" applyNumberFormat="1" applyFont="1" applyFill="1" applyBorder="1" applyAlignment="1">
      <alignment horizontal="right"/>
    </xf>
    <xf numFmtId="1" fontId="7" fillId="0" borderId="168" xfId="4" applyNumberFormat="1" applyFont="1" applyBorder="1" applyAlignment="1">
      <alignment horizontal="center"/>
    </xf>
    <xf numFmtId="10" fontId="9" fillId="0" borderId="169" xfId="5" applyFont="1" applyBorder="1" applyAlignment="1">
      <alignment horizontal="center" vertical="center"/>
    </xf>
    <xf numFmtId="0" fontId="11" fillId="0" borderId="170" xfId="0" applyFont="1" applyBorder="1" applyAlignment="1">
      <alignment horizontal="center"/>
    </xf>
    <xf numFmtId="2" fontId="7" fillId="0" borderId="171" xfId="4" applyNumberFormat="1" applyFont="1" applyBorder="1" applyAlignment="1">
      <alignment horizontal="center"/>
    </xf>
    <xf numFmtId="0" fontId="11" fillId="4" borderId="170" xfId="0" applyFont="1" applyFill="1" applyBorder="1" applyAlignment="1">
      <alignment horizontal="center"/>
    </xf>
    <xf numFmtId="168" fontId="7" fillId="4" borderId="171" xfId="1" applyNumberFormat="1" applyFont="1" applyFill="1" applyBorder="1" applyAlignment="1">
      <alignment horizontal="center"/>
    </xf>
    <xf numFmtId="0" fontId="11" fillId="5" borderId="170" xfId="0" applyFont="1" applyFill="1" applyBorder="1" applyAlignment="1">
      <alignment horizontal="center"/>
    </xf>
    <xf numFmtId="169" fontId="7" fillId="5" borderId="171" xfId="4" applyNumberFormat="1" applyFont="1" applyFill="1" applyBorder="1" applyAlignment="1">
      <alignment horizontal="center"/>
    </xf>
    <xf numFmtId="0" fontId="12" fillId="0" borderId="170" xfId="0" applyFont="1" applyBorder="1" applyAlignment="1">
      <alignment horizontal="center"/>
    </xf>
    <xf numFmtId="169" fontId="13" fillId="0" borderId="171" xfId="4" applyNumberFormat="1" applyFont="1" applyBorder="1" applyAlignment="1">
      <alignment horizontal="center"/>
    </xf>
    <xf numFmtId="168" fontId="7" fillId="4" borderId="171" xfId="1" applyNumberFormat="1" applyFont="1" applyFill="1" applyBorder="1" applyAlignment="1">
      <alignment horizontal="right"/>
    </xf>
    <xf numFmtId="1" fontId="7" fillId="0" borderId="172" xfId="4" applyNumberFormat="1" applyFont="1" applyBorder="1" applyAlignment="1">
      <alignment horizontal="center"/>
    </xf>
    <xf numFmtId="10" fontId="9" fillId="0" borderId="173" xfId="5" applyFont="1" applyBorder="1" applyAlignment="1">
      <alignment horizontal="center" vertical="center"/>
    </xf>
    <xf numFmtId="0" fontId="11" fillId="0" borderId="174" xfId="0" applyFont="1" applyBorder="1" applyAlignment="1">
      <alignment horizontal="center"/>
    </xf>
    <xf numFmtId="2" fontId="7" fillId="0" borderId="175" xfId="4" applyNumberFormat="1" applyFont="1" applyBorder="1" applyAlignment="1">
      <alignment horizontal="center"/>
    </xf>
    <xf numFmtId="0" fontId="11" fillId="4" borderId="174" xfId="0" applyFont="1" applyFill="1" applyBorder="1" applyAlignment="1">
      <alignment horizontal="center"/>
    </xf>
    <xf numFmtId="168" fontId="7" fillId="4" borderId="175" xfId="1" applyNumberFormat="1" applyFont="1" applyFill="1" applyBorder="1" applyAlignment="1">
      <alignment horizontal="center"/>
    </xf>
    <xf numFmtId="0" fontId="11" fillId="5" borderId="174" xfId="0" applyFont="1" applyFill="1" applyBorder="1" applyAlignment="1">
      <alignment horizontal="center"/>
    </xf>
    <xf numFmtId="169" fontId="7" fillId="5" borderId="175" xfId="4" applyNumberFormat="1" applyFont="1" applyFill="1" applyBorder="1" applyAlignment="1">
      <alignment horizontal="center"/>
    </xf>
    <xf numFmtId="0" fontId="12" fillId="0" borderId="174" xfId="0" applyFont="1" applyBorder="1" applyAlignment="1">
      <alignment horizontal="center"/>
    </xf>
    <xf numFmtId="169" fontId="13" fillId="0" borderId="175" xfId="4" applyNumberFormat="1" applyFont="1" applyBorder="1" applyAlignment="1">
      <alignment horizontal="center"/>
    </xf>
    <xf numFmtId="168" fontId="7" fillId="4" borderId="175" xfId="1" applyNumberFormat="1" applyFont="1" applyFill="1" applyBorder="1" applyAlignment="1">
      <alignment horizontal="right"/>
    </xf>
    <xf numFmtId="1" fontId="7" fillId="0" borderId="176" xfId="4" applyNumberFormat="1" applyFont="1" applyBorder="1" applyAlignment="1">
      <alignment horizontal="center"/>
    </xf>
    <xf numFmtId="10" fontId="9" fillId="0" borderId="177" xfId="5" applyFont="1" applyBorder="1" applyAlignment="1">
      <alignment horizontal="center" vertical="center"/>
    </xf>
    <xf numFmtId="0" fontId="11" fillId="0" borderId="178" xfId="0" applyFont="1" applyBorder="1" applyAlignment="1">
      <alignment horizontal="center"/>
    </xf>
    <xf numFmtId="2" fontId="7" fillId="0" borderId="179" xfId="4" applyNumberFormat="1" applyFont="1" applyBorder="1" applyAlignment="1">
      <alignment horizontal="center"/>
    </xf>
    <xf numFmtId="0" fontId="11" fillId="4" borderId="178" xfId="0" applyFont="1" applyFill="1" applyBorder="1" applyAlignment="1">
      <alignment horizontal="center"/>
    </xf>
    <xf numFmtId="168" fontId="7" fillId="4" borderId="179" xfId="1" applyNumberFormat="1" applyFont="1" applyFill="1" applyBorder="1" applyAlignment="1">
      <alignment horizontal="center"/>
    </xf>
    <xf numFmtId="0" fontId="11" fillId="5" borderId="178" xfId="0" applyFont="1" applyFill="1" applyBorder="1" applyAlignment="1">
      <alignment horizontal="center"/>
    </xf>
    <xf numFmtId="169" fontId="7" fillId="5" borderId="179" xfId="4" applyNumberFormat="1" applyFont="1" applyFill="1" applyBorder="1" applyAlignment="1">
      <alignment horizontal="center"/>
    </xf>
    <xf numFmtId="0" fontId="12" fillId="0" borderId="178" xfId="0" applyFont="1" applyBorder="1" applyAlignment="1">
      <alignment horizontal="center"/>
    </xf>
    <xf numFmtId="169" fontId="13" fillId="0" borderId="179" xfId="4" applyNumberFormat="1" applyFont="1" applyBorder="1" applyAlignment="1">
      <alignment horizontal="center"/>
    </xf>
    <xf numFmtId="168" fontId="7" fillId="4" borderId="179" xfId="1" applyNumberFormat="1" applyFont="1" applyFill="1" applyBorder="1" applyAlignment="1">
      <alignment horizontal="right"/>
    </xf>
    <xf numFmtId="1" fontId="7" fillId="0" borderId="180" xfId="4" applyNumberFormat="1" applyFont="1" applyBorder="1" applyAlignment="1">
      <alignment horizontal="center"/>
    </xf>
    <xf numFmtId="10" fontId="9" fillId="0" borderId="181" xfId="5" applyFont="1" applyBorder="1" applyAlignment="1">
      <alignment horizontal="center" vertical="center"/>
    </xf>
    <xf numFmtId="0" fontId="11" fillId="0" borderId="182" xfId="0" applyFont="1" applyBorder="1" applyAlignment="1">
      <alignment horizontal="center"/>
    </xf>
    <xf numFmtId="2" fontId="7" fillId="0" borderId="183" xfId="4" applyNumberFormat="1" applyFont="1" applyBorder="1" applyAlignment="1">
      <alignment horizontal="center"/>
    </xf>
    <xf numFmtId="0" fontId="11" fillId="4" borderId="182" xfId="0" applyFont="1" applyFill="1" applyBorder="1" applyAlignment="1">
      <alignment horizontal="center"/>
    </xf>
    <xf numFmtId="168" fontId="7" fillId="4" borderId="183" xfId="1" applyNumberFormat="1" applyFont="1" applyFill="1" applyBorder="1" applyAlignment="1">
      <alignment horizontal="center"/>
    </xf>
    <xf numFmtId="0" fontId="11" fillId="5" borderId="182" xfId="0" applyFont="1" applyFill="1" applyBorder="1" applyAlignment="1">
      <alignment horizontal="center"/>
    </xf>
    <xf numFmtId="169" fontId="7" fillId="5" borderId="183" xfId="4" applyNumberFormat="1" applyFont="1" applyFill="1" applyBorder="1" applyAlignment="1">
      <alignment horizontal="center"/>
    </xf>
    <xf numFmtId="0" fontId="12" fillId="0" borderId="182" xfId="0" applyFont="1" applyBorder="1" applyAlignment="1">
      <alignment horizontal="center"/>
    </xf>
    <xf numFmtId="169" fontId="13" fillId="0" borderId="183" xfId="4" applyNumberFormat="1" applyFont="1" applyBorder="1" applyAlignment="1">
      <alignment horizontal="center"/>
    </xf>
    <xf numFmtId="168" fontId="7" fillId="4" borderId="183" xfId="1" applyNumberFormat="1" applyFont="1" applyFill="1" applyBorder="1" applyAlignment="1">
      <alignment horizontal="right"/>
    </xf>
    <xf numFmtId="1" fontId="7" fillId="0" borderId="184" xfId="4" applyNumberFormat="1" applyFont="1" applyBorder="1" applyAlignment="1">
      <alignment horizontal="center"/>
    </xf>
    <xf numFmtId="10" fontId="9" fillId="0" borderId="185" xfId="5" applyFont="1" applyBorder="1" applyAlignment="1">
      <alignment horizontal="center" vertical="center"/>
    </xf>
    <xf numFmtId="0" fontId="11" fillId="0" borderId="186" xfId="0" applyFont="1" applyBorder="1" applyAlignment="1">
      <alignment horizontal="center"/>
    </xf>
    <xf numFmtId="2" fontId="7" fillId="0" borderId="187" xfId="4" applyNumberFormat="1" applyFont="1" applyBorder="1" applyAlignment="1">
      <alignment horizontal="center"/>
    </xf>
    <xf numFmtId="0" fontId="11" fillId="4" borderId="186" xfId="0" applyFont="1" applyFill="1" applyBorder="1" applyAlignment="1">
      <alignment horizontal="center"/>
    </xf>
    <xf numFmtId="168" fontId="7" fillId="4" borderId="187" xfId="1" applyNumberFormat="1" applyFont="1" applyFill="1" applyBorder="1" applyAlignment="1">
      <alignment horizontal="center"/>
    </xf>
    <xf numFmtId="0" fontId="11" fillId="5" borderId="186" xfId="0" applyFont="1" applyFill="1" applyBorder="1" applyAlignment="1">
      <alignment horizontal="center"/>
    </xf>
    <xf numFmtId="169" fontId="7" fillId="5" borderId="187" xfId="4" applyNumberFormat="1" applyFont="1" applyFill="1" applyBorder="1" applyAlignment="1">
      <alignment horizontal="center"/>
    </xf>
    <xf numFmtId="0" fontId="12" fillId="0" borderId="186" xfId="0" applyFont="1" applyBorder="1" applyAlignment="1">
      <alignment horizontal="center"/>
    </xf>
    <xf numFmtId="169" fontId="13" fillId="0" borderId="187" xfId="4" applyNumberFormat="1" applyFont="1" applyBorder="1" applyAlignment="1">
      <alignment horizontal="center"/>
    </xf>
    <xf numFmtId="168" fontId="7" fillId="4" borderId="187" xfId="1" applyNumberFormat="1" applyFont="1" applyFill="1" applyBorder="1" applyAlignment="1">
      <alignment horizontal="right"/>
    </xf>
    <xf numFmtId="1" fontId="7" fillId="0" borderId="188" xfId="4" applyNumberFormat="1" applyFont="1" applyBorder="1" applyAlignment="1">
      <alignment horizontal="center"/>
    </xf>
    <xf numFmtId="10" fontId="9" fillId="0" borderId="189" xfId="5" applyFont="1" applyBorder="1" applyAlignment="1">
      <alignment horizontal="center" vertical="center"/>
    </xf>
    <xf numFmtId="0" fontId="11" fillId="0" borderId="190" xfId="0" applyFont="1" applyBorder="1" applyAlignment="1">
      <alignment horizontal="center"/>
    </xf>
    <xf numFmtId="2" fontId="7" fillId="0" borderId="191" xfId="4" applyNumberFormat="1" applyFont="1" applyBorder="1" applyAlignment="1">
      <alignment horizontal="center"/>
    </xf>
    <xf numFmtId="0" fontId="11" fillId="4" borderId="190" xfId="0" applyFont="1" applyFill="1" applyBorder="1" applyAlignment="1">
      <alignment horizontal="center"/>
    </xf>
    <xf numFmtId="168" fontId="7" fillId="4" borderId="191" xfId="1" applyNumberFormat="1" applyFont="1" applyFill="1" applyBorder="1" applyAlignment="1">
      <alignment horizontal="center"/>
    </xf>
    <xf numFmtId="0" fontId="11" fillId="5" borderId="190" xfId="0" applyFont="1" applyFill="1" applyBorder="1" applyAlignment="1">
      <alignment horizontal="center"/>
    </xf>
    <xf numFmtId="169" fontId="7" fillId="5" borderId="191" xfId="4" applyNumberFormat="1" applyFont="1" applyFill="1" applyBorder="1" applyAlignment="1">
      <alignment horizontal="center"/>
    </xf>
    <xf numFmtId="0" fontId="12" fillId="0" borderId="190" xfId="0" applyFont="1" applyBorder="1" applyAlignment="1">
      <alignment horizontal="center"/>
    </xf>
    <xf numFmtId="169" fontId="13" fillId="0" borderId="191" xfId="4" applyNumberFormat="1" applyFont="1" applyBorder="1" applyAlignment="1">
      <alignment horizontal="center"/>
    </xf>
    <xf numFmtId="168" fontId="7" fillId="4" borderId="191" xfId="1" applyNumberFormat="1" applyFont="1" applyFill="1" applyBorder="1" applyAlignment="1">
      <alignment horizontal="right"/>
    </xf>
    <xf numFmtId="1" fontId="7" fillId="0" borderId="192" xfId="4" applyNumberFormat="1" applyFont="1" applyBorder="1" applyAlignment="1">
      <alignment horizontal="center"/>
    </xf>
    <xf numFmtId="10" fontId="9" fillId="0" borderId="193" xfId="5" applyFont="1" applyBorder="1" applyAlignment="1">
      <alignment horizontal="center" vertical="center"/>
    </xf>
    <xf numFmtId="0" fontId="11" fillId="0" borderId="194" xfId="0" applyFont="1" applyBorder="1" applyAlignment="1">
      <alignment horizontal="center"/>
    </xf>
    <xf numFmtId="2" fontId="7" fillId="0" borderId="195" xfId="4" applyNumberFormat="1" applyFont="1" applyBorder="1" applyAlignment="1">
      <alignment horizontal="center"/>
    </xf>
    <xf numFmtId="0" fontId="11" fillId="4" borderId="194" xfId="0" applyFont="1" applyFill="1" applyBorder="1" applyAlignment="1">
      <alignment horizontal="center"/>
    </xf>
    <xf numFmtId="168" fontId="7" fillId="4" borderId="195" xfId="1" applyNumberFormat="1" applyFont="1" applyFill="1" applyBorder="1" applyAlignment="1">
      <alignment horizontal="center"/>
    </xf>
    <xf numFmtId="0" fontId="11" fillId="5" borderId="194" xfId="0" applyFont="1" applyFill="1" applyBorder="1" applyAlignment="1">
      <alignment horizontal="center"/>
    </xf>
    <xf numFmtId="169" fontId="7" fillId="5" borderId="195" xfId="4" applyNumberFormat="1" applyFont="1" applyFill="1" applyBorder="1" applyAlignment="1">
      <alignment horizontal="center"/>
    </xf>
    <xf numFmtId="0" fontId="12" fillId="0" borderId="194" xfId="0" applyFont="1" applyBorder="1" applyAlignment="1">
      <alignment horizontal="center"/>
    </xf>
    <xf numFmtId="169" fontId="13" fillId="0" borderId="195" xfId="4" applyNumberFormat="1" applyFont="1" applyBorder="1" applyAlignment="1">
      <alignment horizontal="center"/>
    </xf>
    <xf numFmtId="168" fontId="7" fillId="4" borderId="195" xfId="1" applyNumberFormat="1" applyFont="1" applyFill="1" applyBorder="1" applyAlignment="1">
      <alignment horizontal="right"/>
    </xf>
    <xf numFmtId="1" fontId="7" fillId="0" borderId="196" xfId="4" applyNumberFormat="1" applyFont="1" applyBorder="1" applyAlignment="1">
      <alignment horizontal="center"/>
    </xf>
    <xf numFmtId="10" fontId="9" fillId="0" borderId="197" xfId="5" applyFont="1" applyBorder="1" applyAlignment="1">
      <alignment horizontal="center" vertical="center"/>
    </xf>
    <xf numFmtId="0" fontId="11" fillId="0" borderId="198" xfId="0" applyFont="1" applyBorder="1" applyAlignment="1">
      <alignment horizontal="center"/>
    </xf>
    <xf numFmtId="2" fontId="7" fillId="0" borderId="199" xfId="4" applyNumberFormat="1" applyFont="1" applyBorder="1" applyAlignment="1">
      <alignment horizontal="center"/>
    </xf>
    <xf numFmtId="0" fontId="11" fillId="4" borderId="198" xfId="0" applyFont="1" applyFill="1" applyBorder="1" applyAlignment="1">
      <alignment horizontal="center"/>
    </xf>
    <xf numFmtId="168" fontId="7" fillId="4" borderId="199" xfId="1" applyNumberFormat="1" applyFont="1" applyFill="1" applyBorder="1" applyAlignment="1">
      <alignment horizontal="center"/>
    </xf>
    <xf numFmtId="0" fontId="11" fillId="5" borderId="198" xfId="0" applyFont="1" applyFill="1" applyBorder="1" applyAlignment="1">
      <alignment horizontal="center"/>
    </xf>
    <xf numFmtId="169" fontId="7" fillId="5" borderId="199" xfId="4" applyNumberFormat="1" applyFont="1" applyFill="1" applyBorder="1" applyAlignment="1">
      <alignment horizontal="center"/>
    </xf>
    <xf numFmtId="0" fontId="12" fillId="0" borderId="198" xfId="0" applyFont="1" applyBorder="1" applyAlignment="1">
      <alignment horizontal="center"/>
    </xf>
    <xf numFmtId="169" fontId="13" fillId="0" borderId="199" xfId="4" applyNumberFormat="1" applyFont="1" applyBorder="1" applyAlignment="1">
      <alignment horizontal="center"/>
    </xf>
    <xf numFmtId="168" fontId="7" fillId="4" borderId="199" xfId="1" applyNumberFormat="1" applyFont="1" applyFill="1" applyBorder="1" applyAlignment="1">
      <alignment horizontal="right"/>
    </xf>
    <xf numFmtId="1" fontId="7" fillId="0" borderId="200" xfId="4" applyNumberFormat="1" applyFont="1" applyBorder="1" applyAlignment="1">
      <alignment horizontal="center"/>
    </xf>
    <xf numFmtId="10" fontId="9" fillId="0" borderId="201" xfId="5" applyFont="1" applyBorder="1" applyAlignment="1">
      <alignment horizontal="center" vertical="center"/>
    </xf>
    <xf numFmtId="0" fontId="11" fillId="0" borderId="202" xfId="0" applyFont="1" applyBorder="1" applyAlignment="1">
      <alignment horizontal="center"/>
    </xf>
    <xf numFmtId="2" fontId="7" fillId="0" borderId="203" xfId="4" applyNumberFormat="1" applyFont="1" applyBorder="1" applyAlignment="1">
      <alignment horizontal="center"/>
    </xf>
    <xf numFmtId="0" fontId="11" fillId="4" borderId="202" xfId="0" applyFont="1" applyFill="1" applyBorder="1" applyAlignment="1">
      <alignment horizontal="center"/>
    </xf>
    <xf numFmtId="168" fontId="7" fillId="4" borderId="203" xfId="1" applyNumberFormat="1" applyFont="1" applyFill="1" applyBorder="1" applyAlignment="1">
      <alignment horizontal="center"/>
    </xf>
    <xf numFmtId="0" fontId="11" fillId="5" borderId="202" xfId="0" applyFont="1" applyFill="1" applyBorder="1" applyAlignment="1">
      <alignment horizontal="center"/>
    </xf>
    <xf numFmtId="169" fontId="7" fillId="5" borderId="203" xfId="4" applyNumberFormat="1" applyFont="1" applyFill="1" applyBorder="1" applyAlignment="1">
      <alignment horizontal="center"/>
    </xf>
    <xf numFmtId="0" fontId="12" fillId="0" borderId="202" xfId="0" applyFont="1" applyBorder="1" applyAlignment="1">
      <alignment horizontal="center"/>
    </xf>
    <xf numFmtId="169" fontId="13" fillId="0" borderId="203" xfId="4" applyNumberFormat="1" applyFont="1" applyBorder="1" applyAlignment="1">
      <alignment horizontal="center"/>
    </xf>
    <xf numFmtId="168" fontId="7" fillId="4" borderId="203" xfId="1" applyNumberFormat="1" applyFont="1" applyFill="1" applyBorder="1" applyAlignment="1">
      <alignment horizontal="right"/>
    </xf>
    <xf numFmtId="1" fontId="7" fillId="0" borderId="204" xfId="4" applyNumberFormat="1" applyFont="1" applyBorder="1" applyAlignment="1">
      <alignment horizontal="center"/>
    </xf>
    <xf numFmtId="10" fontId="9" fillId="0" borderId="205" xfId="5" applyFont="1" applyBorder="1" applyAlignment="1">
      <alignment horizontal="center" vertical="center"/>
    </xf>
    <xf numFmtId="0" fontId="11" fillId="0" borderId="206" xfId="0" applyFont="1" applyBorder="1" applyAlignment="1">
      <alignment horizontal="center"/>
    </xf>
    <xf numFmtId="2" fontId="7" fillId="0" borderId="207" xfId="4" applyNumberFormat="1" applyFont="1" applyBorder="1" applyAlignment="1">
      <alignment horizontal="center"/>
    </xf>
    <xf numFmtId="0" fontId="11" fillId="4" borderId="206" xfId="0" applyFont="1" applyFill="1" applyBorder="1" applyAlignment="1">
      <alignment horizontal="center"/>
    </xf>
    <xf numFmtId="168" fontId="7" fillId="4" borderId="207" xfId="1" applyNumberFormat="1" applyFont="1" applyFill="1" applyBorder="1" applyAlignment="1">
      <alignment horizontal="center"/>
    </xf>
    <xf numFmtId="0" fontId="11" fillId="5" borderId="206" xfId="0" applyFont="1" applyFill="1" applyBorder="1" applyAlignment="1">
      <alignment horizontal="center"/>
    </xf>
    <xf numFmtId="169" fontId="7" fillId="5" borderId="207" xfId="4" applyNumberFormat="1" applyFont="1" applyFill="1" applyBorder="1" applyAlignment="1">
      <alignment horizontal="center"/>
    </xf>
    <xf numFmtId="0" fontId="12" fillId="0" borderId="206" xfId="0" applyFont="1" applyBorder="1" applyAlignment="1">
      <alignment horizontal="center"/>
    </xf>
    <xf numFmtId="169" fontId="13" fillId="0" borderId="207" xfId="4" applyNumberFormat="1" applyFont="1" applyBorder="1" applyAlignment="1">
      <alignment horizontal="center"/>
    </xf>
    <xf numFmtId="168" fontId="7" fillId="4" borderId="207" xfId="1" applyNumberFormat="1" applyFont="1" applyFill="1" applyBorder="1" applyAlignment="1">
      <alignment horizontal="right"/>
    </xf>
    <xf numFmtId="1" fontId="7" fillId="0" borderId="208" xfId="4" applyNumberFormat="1" applyFont="1" applyBorder="1" applyAlignment="1">
      <alignment horizontal="center"/>
    </xf>
    <xf numFmtId="10" fontId="9" fillId="0" borderId="209" xfId="5" applyFont="1" applyBorder="1" applyAlignment="1">
      <alignment horizontal="center" vertical="center"/>
    </xf>
    <xf numFmtId="0" fontId="11" fillId="0" borderId="210" xfId="0" applyFont="1" applyBorder="1" applyAlignment="1">
      <alignment horizontal="center"/>
    </xf>
    <xf numFmtId="2" fontId="7" fillId="0" borderId="211" xfId="4" applyNumberFormat="1" applyFont="1" applyBorder="1" applyAlignment="1">
      <alignment horizontal="center"/>
    </xf>
    <xf numFmtId="0" fontId="11" fillId="4" borderId="210" xfId="0" applyFont="1" applyFill="1" applyBorder="1" applyAlignment="1">
      <alignment horizontal="center"/>
    </xf>
    <xf numFmtId="168" fontId="7" fillId="4" borderId="211" xfId="1" applyNumberFormat="1" applyFont="1" applyFill="1" applyBorder="1" applyAlignment="1">
      <alignment horizontal="center"/>
    </xf>
    <xf numFmtId="0" fontId="11" fillId="5" borderId="210" xfId="0" applyFont="1" applyFill="1" applyBorder="1" applyAlignment="1">
      <alignment horizontal="center"/>
    </xf>
    <xf numFmtId="169" fontId="7" fillId="5" borderId="211" xfId="4" applyNumberFormat="1" applyFont="1" applyFill="1" applyBorder="1" applyAlignment="1">
      <alignment horizontal="center"/>
    </xf>
    <xf numFmtId="0" fontId="12" fillId="0" borderId="210" xfId="0" applyFont="1" applyBorder="1" applyAlignment="1">
      <alignment horizontal="center"/>
    </xf>
    <xf numFmtId="169" fontId="13" fillId="0" borderId="211" xfId="4" applyNumberFormat="1" applyFont="1" applyBorder="1" applyAlignment="1">
      <alignment horizontal="center"/>
    </xf>
    <xf numFmtId="168" fontId="7" fillId="4" borderId="211" xfId="1" applyNumberFormat="1" applyFont="1" applyFill="1" applyBorder="1" applyAlignment="1">
      <alignment horizontal="right"/>
    </xf>
    <xf numFmtId="1" fontId="7" fillId="0" borderId="212" xfId="4" applyNumberFormat="1" applyFont="1" applyBorder="1" applyAlignment="1">
      <alignment horizontal="center"/>
    </xf>
    <xf numFmtId="10" fontId="9" fillId="0" borderId="213" xfId="5" applyFont="1" applyBorder="1" applyAlignment="1">
      <alignment horizontal="center" vertical="center"/>
    </xf>
    <xf numFmtId="0" fontId="11" fillId="0" borderId="214" xfId="0" applyFont="1" applyBorder="1" applyAlignment="1">
      <alignment horizontal="center"/>
    </xf>
    <xf numFmtId="2" fontId="7" fillId="0" borderId="215" xfId="4" applyNumberFormat="1" applyFont="1" applyBorder="1" applyAlignment="1">
      <alignment horizontal="center"/>
    </xf>
    <xf numFmtId="0" fontId="11" fillId="4" borderId="214" xfId="0" applyFont="1" applyFill="1" applyBorder="1" applyAlignment="1">
      <alignment horizontal="center"/>
    </xf>
    <xf numFmtId="168" fontId="7" fillId="4" borderId="215" xfId="1" applyNumberFormat="1" applyFont="1" applyFill="1" applyBorder="1" applyAlignment="1">
      <alignment horizontal="center"/>
    </xf>
    <xf numFmtId="0" fontId="11" fillId="5" borderId="214" xfId="0" applyFont="1" applyFill="1" applyBorder="1" applyAlignment="1">
      <alignment horizontal="center"/>
    </xf>
    <xf numFmtId="169" fontId="7" fillId="5" borderId="215" xfId="4" applyNumberFormat="1" applyFont="1" applyFill="1" applyBorder="1" applyAlignment="1">
      <alignment horizontal="center"/>
    </xf>
    <xf numFmtId="0" fontId="12" fillId="0" borderId="214" xfId="0" applyFont="1" applyBorder="1" applyAlignment="1">
      <alignment horizontal="center"/>
    </xf>
    <xf numFmtId="169" fontId="13" fillId="0" borderId="215" xfId="4" applyNumberFormat="1" applyFont="1" applyBorder="1" applyAlignment="1">
      <alignment horizontal="center"/>
    </xf>
    <xf numFmtId="168" fontId="7" fillId="4" borderId="215" xfId="1" applyNumberFormat="1" applyFont="1" applyFill="1" applyBorder="1" applyAlignment="1">
      <alignment horizontal="right"/>
    </xf>
    <xf numFmtId="1" fontId="7" fillId="0" borderId="216" xfId="4" applyNumberFormat="1" applyFont="1" applyBorder="1" applyAlignment="1">
      <alignment horizontal="center"/>
    </xf>
    <xf numFmtId="10" fontId="9" fillId="0" borderId="217" xfId="5" applyFont="1" applyBorder="1" applyAlignment="1">
      <alignment horizontal="center" vertical="center"/>
    </xf>
    <xf numFmtId="0" fontId="11" fillId="0" borderId="218" xfId="0" applyFont="1" applyBorder="1" applyAlignment="1">
      <alignment horizontal="center"/>
    </xf>
    <xf numFmtId="2" fontId="7" fillId="0" borderId="219" xfId="4" applyNumberFormat="1" applyFont="1" applyBorder="1" applyAlignment="1">
      <alignment horizontal="center"/>
    </xf>
    <xf numFmtId="0" fontId="11" fillId="4" borderId="218" xfId="0" applyFont="1" applyFill="1" applyBorder="1" applyAlignment="1">
      <alignment horizontal="center"/>
    </xf>
    <xf numFmtId="168" fontId="7" fillId="4" borderId="219" xfId="1" applyNumberFormat="1" applyFont="1" applyFill="1" applyBorder="1" applyAlignment="1">
      <alignment horizontal="center"/>
    </xf>
    <xf numFmtId="0" fontId="11" fillId="5" borderId="218" xfId="0" applyFont="1" applyFill="1" applyBorder="1" applyAlignment="1">
      <alignment horizontal="center"/>
    </xf>
    <xf numFmtId="169" fontId="7" fillId="5" borderId="219" xfId="4" applyNumberFormat="1" applyFont="1" applyFill="1" applyBorder="1" applyAlignment="1">
      <alignment horizontal="center"/>
    </xf>
    <xf numFmtId="0" fontId="12" fillId="0" borderId="218" xfId="0" applyFont="1" applyBorder="1" applyAlignment="1">
      <alignment horizontal="center"/>
    </xf>
    <xf numFmtId="169" fontId="13" fillId="0" borderId="219" xfId="4" applyNumberFormat="1" applyFont="1" applyBorder="1" applyAlignment="1">
      <alignment horizontal="center"/>
    </xf>
    <xf numFmtId="168" fontId="7" fillId="4" borderId="219" xfId="1" applyNumberFormat="1" applyFont="1" applyFill="1" applyBorder="1" applyAlignment="1">
      <alignment horizontal="right"/>
    </xf>
    <xf numFmtId="1" fontId="7" fillId="0" borderId="220" xfId="4" applyNumberFormat="1" applyFont="1" applyBorder="1" applyAlignment="1">
      <alignment horizontal="center"/>
    </xf>
    <xf numFmtId="10" fontId="9" fillId="0" borderId="221" xfId="5" applyFont="1" applyBorder="1" applyAlignment="1">
      <alignment horizontal="center" vertical="center"/>
    </xf>
    <xf numFmtId="0" fontId="11" fillId="0" borderId="222" xfId="0" applyFont="1" applyBorder="1" applyAlignment="1">
      <alignment horizontal="center"/>
    </xf>
    <xf numFmtId="2" fontId="7" fillId="0" borderId="223" xfId="4" applyNumberFormat="1" applyFont="1" applyBorder="1" applyAlignment="1">
      <alignment horizontal="center"/>
    </xf>
    <xf numFmtId="0" fontId="11" fillId="4" borderId="222" xfId="0" applyFont="1" applyFill="1" applyBorder="1" applyAlignment="1">
      <alignment horizontal="center"/>
    </xf>
    <xf numFmtId="168" fontId="7" fillId="4" borderId="223" xfId="1" applyNumberFormat="1" applyFont="1" applyFill="1" applyBorder="1" applyAlignment="1">
      <alignment horizontal="center"/>
    </xf>
    <xf numFmtId="0" fontId="11" fillId="5" borderId="222" xfId="0" applyFont="1" applyFill="1" applyBorder="1" applyAlignment="1">
      <alignment horizontal="center"/>
    </xf>
    <xf numFmtId="169" fontId="7" fillId="5" borderId="223" xfId="4" applyNumberFormat="1" applyFont="1" applyFill="1" applyBorder="1" applyAlignment="1">
      <alignment horizontal="center"/>
    </xf>
    <xf numFmtId="0" fontId="12" fillId="0" borderId="222" xfId="0" applyFont="1" applyBorder="1" applyAlignment="1">
      <alignment horizontal="center"/>
    </xf>
    <xf numFmtId="169" fontId="13" fillId="0" borderId="223" xfId="4" applyNumberFormat="1" applyFont="1" applyBorder="1" applyAlignment="1">
      <alignment horizontal="center"/>
    </xf>
    <xf numFmtId="168" fontId="7" fillId="4" borderId="223" xfId="1" applyNumberFormat="1" applyFont="1" applyFill="1" applyBorder="1" applyAlignment="1">
      <alignment horizontal="right"/>
    </xf>
    <xf numFmtId="1" fontId="7" fillId="0" borderId="224" xfId="4" applyNumberFormat="1" applyFont="1" applyBorder="1" applyAlignment="1">
      <alignment horizontal="center"/>
    </xf>
    <xf numFmtId="10" fontId="9" fillId="0" borderId="225" xfId="5" applyFont="1" applyBorder="1" applyAlignment="1">
      <alignment horizontal="center" vertical="center"/>
    </xf>
    <xf numFmtId="0" fontId="11" fillId="0" borderId="226" xfId="0" applyFont="1" applyBorder="1" applyAlignment="1">
      <alignment horizontal="center"/>
    </xf>
    <xf numFmtId="2" fontId="7" fillId="0" borderId="227" xfId="4" applyNumberFormat="1" applyFont="1" applyBorder="1" applyAlignment="1">
      <alignment horizontal="center"/>
    </xf>
    <xf numFmtId="0" fontId="11" fillId="4" borderId="226" xfId="0" applyFont="1" applyFill="1" applyBorder="1" applyAlignment="1">
      <alignment horizontal="center"/>
    </xf>
    <xf numFmtId="168" fontId="7" fillId="4" borderId="227" xfId="1" applyNumberFormat="1" applyFont="1" applyFill="1" applyBorder="1" applyAlignment="1">
      <alignment horizontal="center"/>
    </xf>
    <xf numFmtId="0" fontId="11" fillId="5" borderId="226" xfId="0" applyFont="1" applyFill="1" applyBorder="1" applyAlignment="1">
      <alignment horizontal="center"/>
    </xf>
    <xf numFmtId="169" fontId="7" fillId="5" borderId="227" xfId="4" applyNumberFormat="1" applyFont="1" applyFill="1" applyBorder="1" applyAlignment="1">
      <alignment horizontal="center"/>
    </xf>
    <xf numFmtId="0" fontId="12" fillId="0" borderId="226" xfId="0" applyFont="1" applyBorder="1" applyAlignment="1">
      <alignment horizontal="center"/>
    </xf>
    <xf numFmtId="169" fontId="13" fillId="0" borderId="227" xfId="4" applyNumberFormat="1" applyFont="1" applyBorder="1" applyAlignment="1">
      <alignment horizontal="center"/>
    </xf>
    <xf numFmtId="168" fontId="7" fillId="4" borderId="227" xfId="1" applyNumberFormat="1" applyFont="1" applyFill="1" applyBorder="1" applyAlignment="1">
      <alignment horizontal="right"/>
    </xf>
    <xf numFmtId="1" fontId="7" fillId="0" borderId="228" xfId="4" applyNumberFormat="1" applyFont="1" applyBorder="1" applyAlignment="1">
      <alignment horizontal="center"/>
    </xf>
    <xf numFmtId="10" fontId="9" fillId="0" borderId="229" xfId="5" applyFont="1" applyBorder="1" applyAlignment="1">
      <alignment horizontal="center" vertical="center"/>
    </xf>
    <xf numFmtId="0" fontId="11" fillId="0" borderId="230" xfId="0" applyFont="1" applyBorder="1" applyAlignment="1">
      <alignment horizontal="center"/>
    </xf>
    <xf numFmtId="2" fontId="7" fillId="0" borderId="231" xfId="4" applyNumberFormat="1" applyFont="1" applyBorder="1" applyAlignment="1">
      <alignment horizontal="center"/>
    </xf>
    <xf numFmtId="0" fontId="11" fillId="4" borderId="230" xfId="0" applyFont="1" applyFill="1" applyBorder="1" applyAlignment="1">
      <alignment horizontal="center"/>
    </xf>
    <xf numFmtId="168" fontId="7" fillId="4" borderId="231" xfId="1" applyNumberFormat="1" applyFont="1" applyFill="1" applyBorder="1" applyAlignment="1">
      <alignment horizontal="center"/>
    </xf>
    <xf numFmtId="0" fontId="11" fillId="5" borderId="230" xfId="0" applyFont="1" applyFill="1" applyBorder="1" applyAlignment="1">
      <alignment horizontal="center"/>
    </xf>
    <xf numFmtId="169" fontId="7" fillId="5" borderId="231" xfId="4" applyNumberFormat="1" applyFont="1" applyFill="1" applyBorder="1" applyAlignment="1">
      <alignment horizontal="center"/>
    </xf>
    <xf numFmtId="0" fontId="12" fillId="0" borderId="230" xfId="0" applyFont="1" applyBorder="1" applyAlignment="1">
      <alignment horizontal="center"/>
    </xf>
    <xf numFmtId="169" fontId="13" fillId="0" borderId="231" xfId="4" applyNumberFormat="1" applyFont="1" applyBorder="1" applyAlignment="1">
      <alignment horizontal="center"/>
    </xf>
    <xf numFmtId="168" fontId="7" fillId="4" borderId="231" xfId="1" applyNumberFormat="1" applyFont="1" applyFill="1" applyBorder="1" applyAlignment="1">
      <alignment horizontal="right"/>
    </xf>
    <xf numFmtId="1" fontId="7" fillId="0" borderId="232" xfId="4" applyNumberFormat="1" applyFont="1" applyBorder="1" applyAlignment="1">
      <alignment horizontal="center"/>
    </xf>
    <xf numFmtId="10" fontId="9" fillId="0" borderId="233" xfId="5" applyFont="1" applyBorder="1" applyAlignment="1">
      <alignment horizontal="center" vertical="center"/>
    </xf>
    <xf numFmtId="0" fontId="11" fillId="0" borderId="234" xfId="0" applyFont="1" applyBorder="1" applyAlignment="1">
      <alignment horizontal="center"/>
    </xf>
    <xf numFmtId="2" fontId="7" fillId="0" borderId="235" xfId="4" applyNumberFormat="1" applyFont="1" applyBorder="1" applyAlignment="1">
      <alignment horizontal="center"/>
    </xf>
    <xf numFmtId="0" fontId="11" fillId="4" borderId="234" xfId="0" applyFont="1" applyFill="1" applyBorder="1" applyAlignment="1">
      <alignment horizontal="center"/>
    </xf>
    <xf numFmtId="168" fontId="7" fillId="4" borderId="235" xfId="1" applyNumberFormat="1" applyFont="1" applyFill="1" applyBorder="1" applyAlignment="1">
      <alignment horizontal="center"/>
    </xf>
    <xf numFmtId="0" fontId="11" fillId="5" borderId="234" xfId="0" applyFont="1" applyFill="1" applyBorder="1" applyAlignment="1">
      <alignment horizontal="center"/>
    </xf>
    <xf numFmtId="169" fontId="7" fillId="5" borderId="235" xfId="4" applyNumberFormat="1" applyFont="1" applyFill="1" applyBorder="1" applyAlignment="1">
      <alignment horizontal="center"/>
    </xf>
    <xf numFmtId="0" fontId="12" fillId="0" borderId="234" xfId="0" applyFont="1" applyBorder="1" applyAlignment="1">
      <alignment horizontal="center"/>
    </xf>
    <xf numFmtId="169" fontId="13" fillId="0" borderId="235" xfId="4" applyNumberFormat="1" applyFont="1" applyBorder="1" applyAlignment="1">
      <alignment horizontal="center"/>
    </xf>
    <xf numFmtId="168" fontId="7" fillId="4" borderId="235" xfId="1" applyNumberFormat="1" applyFont="1" applyFill="1" applyBorder="1" applyAlignment="1">
      <alignment horizontal="right"/>
    </xf>
    <xf numFmtId="1" fontId="7" fillId="0" borderId="236" xfId="4" applyNumberFormat="1" applyFont="1" applyBorder="1" applyAlignment="1">
      <alignment horizontal="center"/>
    </xf>
    <xf numFmtId="10" fontId="9" fillId="0" borderId="237" xfId="5" applyFont="1" applyBorder="1" applyAlignment="1">
      <alignment horizontal="center" vertical="center"/>
    </xf>
    <xf numFmtId="0" fontId="11" fillId="0" borderId="238" xfId="0" applyFont="1" applyBorder="1" applyAlignment="1">
      <alignment horizontal="center"/>
    </xf>
    <xf numFmtId="2" fontId="7" fillId="0" borderId="239" xfId="4" applyNumberFormat="1" applyFont="1" applyBorder="1" applyAlignment="1">
      <alignment horizontal="center"/>
    </xf>
    <xf numFmtId="0" fontId="11" fillId="4" borderId="238" xfId="0" applyFont="1" applyFill="1" applyBorder="1" applyAlignment="1">
      <alignment horizontal="center"/>
    </xf>
    <xf numFmtId="168" fontId="7" fillId="4" borderId="239" xfId="1" applyNumberFormat="1" applyFont="1" applyFill="1" applyBorder="1" applyAlignment="1">
      <alignment horizontal="center"/>
    </xf>
    <xf numFmtId="0" fontId="11" fillId="5" borderId="238" xfId="0" applyFont="1" applyFill="1" applyBorder="1" applyAlignment="1">
      <alignment horizontal="center"/>
    </xf>
    <xf numFmtId="169" fontId="7" fillId="5" borderId="239" xfId="4" applyNumberFormat="1" applyFont="1" applyFill="1" applyBorder="1" applyAlignment="1">
      <alignment horizontal="center"/>
    </xf>
    <xf numFmtId="0" fontId="12" fillId="0" borderId="238" xfId="0" applyFont="1" applyBorder="1" applyAlignment="1">
      <alignment horizontal="center"/>
    </xf>
    <xf numFmtId="169" fontId="13" fillId="0" borderId="239" xfId="4" applyNumberFormat="1" applyFont="1" applyBorder="1" applyAlignment="1">
      <alignment horizontal="center"/>
    </xf>
    <xf numFmtId="168" fontId="7" fillId="4" borderId="239" xfId="1" applyNumberFormat="1" applyFont="1" applyFill="1" applyBorder="1" applyAlignment="1">
      <alignment horizontal="right"/>
    </xf>
    <xf numFmtId="1" fontId="7" fillId="0" borderId="240" xfId="4" applyNumberFormat="1" applyFont="1" applyBorder="1" applyAlignment="1">
      <alignment horizontal="center"/>
    </xf>
    <xf numFmtId="10" fontId="9" fillId="0" borderId="241" xfId="5" applyFont="1" applyBorder="1" applyAlignment="1">
      <alignment horizontal="center" vertical="center"/>
    </xf>
    <xf numFmtId="0" fontId="11" fillId="0" borderId="242" xfId="0" applyFont="1" applyBorder="1" applyAlignment="1">
      <alignment horizontal="center"/>
    </xf>
    <xf numFmtId="2" fontId="7" fillId="0" borderId="243" xfId="4" applyNumberFormat="1" applyFont="1" applyBorder="1" applyAlignment="1">
      <alignment horizontal="center"/>
    </xf>
    <xf numFmtId="0" fontId="11" fillId="4" borderId="242" xfId="0" applyFont="1" applyFill="1" applyBorder="1" applyAlignment="1">
      <alignment horizontal="center"/>
    </xf>
    <xf numFmtId="168" fontId="7" fillId="4" borderId="243" xfId="1" applyNumberFormat="1" applyFont="1" applyFill="1" applyBorder="1" applyAlignment="1">
      <alignment horizontal="center"/>
    </xf>
    <xf numFmtId="0" fontId="11" fillId="5" borderId="242" xfId="0" applyFont="1" applyFill="1" applyBorder="1" applyAlignment="1">
      <alignment horizontal="center"/>
    </xf>
    <xf numFmtId="169" fontId="7" fillId="5" borderId="243" xfId="4" applyNumberFormat="1" applyFont="1" applyFill="1" applyBorder="1" applyAlignment="1">
      <alignment horizontal="center"/>
    </xf>
    <xf numFmtId="0" fontId="12" fillId="0" borderId="242" xfId="0" applyFont="1" applyBorder="1" applyAlignment="1">
      <alignment horizontal="center"/>
    </xf>
    <xf numFmtId="169" fontId="13" fillId="0" borderId="243" xfId="4" applyNumberFormat="1" applyFont="1" applyBorder="1" applyAlignment="1">
      <alignment horizontal="center"/>
    </xf>
    <xf numFmtId="168" fontId="7" fillId="4" borderId="243" xfId="1" applyNumberFormat="1" applyFont="1" applyFill="1" applyBorder="1" applyAlignment="1">
      <alignment horizontal="right"/>
    </xf>
    <xf numFmtId="1" fontId="7" fillId="0" borderId="244" xfId="4" applyNumberFormat="1" applyFont="1" applyBorder="1" applyAlignment="1">
      <alignment horizontal="center"/>
    </xf>
    <xf numFmtId="10" fontId="9" fillId="0" borderId="245" xfId="5" applyFont="1" applyBorder="1" applyAlignment="1">
      <alignment horizontal="center" vertical="center"/>
    </xf>
    <xf numFmtId="0" fontId="11" fillId="0" borderId="246" xfId="0" applyFont="1" applyBorder="1" applyAlignment="1">
      <alignment horizontal="center"/>
    </xf>
    <xf numFmtId="2" fontId="7" fillId="0" borderId="247" xfId="4" applyNumberFormat="1" applyFont="1" applyBorder="1" applyAlignment="1">
      <alignment horizontal="center"/>
    </xf>
    <xf numFmtId="0" fontId="11" fillId="4" borderId="246" xfId="0" applyFont="1" applyFill="1" applyBorder="1" applyAlignment="1">
      <alignment horizontal="center"/>
    </xf>
    <xf numFmtId="168" fontId="7" fillId="4" borderId="247" xfId="1" applyNumberFormat="1" applyFont="1" applyFill="1" applyBorder="1" applyAlignment="1">
      <alignment horizontal="center"/>
    </xf>
    <xf numFmtId="0" fontId="11" fillId="5" borderId="246" xfId="0" applyFont="1" applyFill="1" applyBorder="1" applyAlignment="1">
      <alignment horizontal="center"/>
    </xf>
    <xf numFmtId="169" fontId="7" fillId="5" borderId="247" xfId="4" applyNumberFormat="1" applyFont="1" applyFill="1" applyBorder="1" applyAlignment="1">
      <alignment horizontal="center"/>
    </xf>
    <xf numFmtId="0" fontId="12" fillId="0" borderId="246" xfId="0" applyFont="1" applyBorder="1" applyAlignment="1">
      <alignment horizontal="center"/>
    </xf>
    <xf numFmtId="169" fontId="13" fillId="0" borderId="247" xfId="4" applyNumberFormat="1" applyFont="1" applyBorder="1" applyAlignment="1">
      <alignment horizontal="center"/>
    </xf>
    <xf numFmtId="168" fontId="7" fillId="4" borderId="247" xfId="1" applyNumberFormat="1" applyFont="1" applyFill="1" applyBorder="1" applyAlignment="1">
      <alignment horizontal="right"/>
    </xf>
    <xf numFmtId="1" fontId="7" fillId="0" borderId="248" xfId="4" applyNumberFormat="1" applyFont="1" applyBorder="1" applyAlignment="1">
      <alignment horizontal="center"/>
    </xf>
    <xf numFmtId="10" fontId="9" fillId="0" borderId="249" xfId="5" applyFont="1" applyBorder="1" applyAlignment="1">
      <alignment horizontal="center" vertical="center"/>
    </xf>
    <xf numFmtId="0" fontId="11" fillId="0" borderId="250" xfId="0" applyFont="1" applyBorder="1" applyAlignment="1">
      <alignment horizontal="center"/>
    </xf>
    <xf numFmtId="2" fontId="7" fillId="0" borderId="251" xfId="4" applyNumberFormat="1" applyFont="1" applyBorder="1" applyAlignment="1">
      <alignment horizontal="center"/>
    </xf>
    <xf numFmtId="0" fontId="11" fillId="4" borderId="250" xfId="0" applyFont="1" applyFill="1" applyBorder="1" applyAlignment="1">
      <alignment horizontal="center"/>
    </xf>
    <xf numFmtId="168" fontId="7" fillId="4" borderId="251" xfId="1" applyNumberFormat="1" applyFont="1" applyFill="1" applyBorder="1" applyAlignment="1">
      <alignment horizontal="center"/>
    </xf>
    <xf numFmtId="0" fontId="11" fillId="5" borderId="250" xfId="0" applyFont="1" applyFill="1" applyBorder="1" applyAlignment="1">
      <alignment horizontal="center"/>
    </xf>
    <xf numFmtId="169" fontId="7" fillId="5" borderId="251" xfId="4" applyNumberFormat="1" applyFont="1" applyFill="1" applyBorder="1" applyAlignment="1">
      <alignment horizontal="center"/>
    </xf>
    <xf numFmtId="0" fontId="12" fillId="0" borderId="250" xfId="0" applyFont="1" applyBorder="1" applyAlignment="1">
      <alignment horizontal="center"/>
    </xf>
    <xf numFmtId="169" fontId="13" fillId="0" borderId="251" xfId="4" applyNumberFormat="1" applyFont="1" applyBorder="1" applyAlignment="1">
      <alignment horizontal="center"/>
    </xf>
    <xf numFmtId="168" fontId="7" fillId="4" borderId="251" xfId="1" applyNumberFormat="1" applyFont="1" applyFill="1" applyBorder="1" applyAlignment="1">
      <alignment horizontal="right"/>
    </xf>
    <xf numFmtId="1" fontId="7" fillId="0" borderId="252" xfId="4" applyNumberFormat="1" applyFont="1" applyBorder="1" applyAlignment="1">
      <alignment horizontal="center"/>
    </xf>
    <xf numFmtId="10" fontId="9" fillId="0" borderId="253" xfId="5" applyFont="1" applyBorder="1" applyAlignment="1">
      <alignment horizontal="center" vertical="center"/>
    </xf>
    <xf numFmtId="0" fontId="11" fillId="0" borderId="254" xfId="0" applyFont="1" applyBorder="1" applyAlignment="1">
      <alignment horizontal="center"/>
    </xf>
    <xf numFmtId="2" fontId="7" fillId="0" borderId="255" xfId="4" applyNumberFormat="1" applyFont="1" applyBorder="1" applyAlignment="1">
      <alignment horizontal="center"/>
    </xf>
    <xf numFmtId="0" fontId="11" fillId="4" borderId="254" xfId="0" applyFont="1" applyFill="1" applyBorder="1" applyAlignment="1">
      <alignment horizontal="center"/>
    </xf>
    <xf numFmtId="168" fontId="7" fillId="4" borderId="255" xfId="1" applyNumberFormat="1" applyFont="1" applyFill="1" applyBorder="1" applyAlignment="1">
      <alignment horizontal="center"/>
    </xf>
    <xf numFmtId="0" fontId="11" fillId="5" borderId="254" xfId="0" applyFont="1" applyFill="1" applyBorder="1" applyAlignment="1">
      <alignment horizontal="center"/>
    </xf>
    <xf numFmtId="169" fontId="7" fillId="5" borderId="255" xfId="4" applyNumberFormat="1" applyFont="1" applyFill="1" applyBorder="1" applyAlignment="1">
      <alignment horizontal="center"/>
    </xf>
    <xf numFmtId="0" fontId="12" fillId="0" borderId="254" xfId="0" applyFont="1" applyBorder="1" applyAlignment="1">
      <alignment horizontal="center"/>
    </xf>
    <xf numFmtId="169" fontId="13" fillId="0" borderId="255" xfId="4" applyNumberFormat="1" applyFont="1" applyBorder="1" applyAlignment="1">
      <alignment horizontal="center"/>
    </xf>
    <xf numFmtId="168" fontId="7" fillId="4" borderId="255" xfId="1" applyNumberFormat="1" applyFont="1" applyFill="1" applyBorder="1" applyAlignment="1">
      <alignment horizontal="right"/>
    </xf>
    <xf numFmtId="1" fontId="7" fillId="0" borderId="256" xfId="4" applyNumberFormat="1" applyFont="1" applyBorder="1" applyAlignment="1">
      <alignment horizontal="center"/>
    </xf>
    <xf numFmtId="10" fontId="9" fillId="0" borderId="257" xfId="5" applyFont="1" applyBorder="1" applyAlignment="1">
      <alignment horizontal="center" vertical="center"/>
    </xf>
    <xf numFmtId="0" fontId="11" fillId="0" borderId="258" xfId="0" applyFont="1" applyBorder="1" applyAlignment="1">
      <alignment horizontal="center"/>
    </xf>
    <xf numFmtId="2" fontId="7" fillId="0" borderId="259" xfId="4" applyNumberFormat="1" applyFont="1" applyBorder="1" applyAlignment="1">
      <alignment horizontal="center"/>
    </xf>
    <xf numFmtId="0" fontId="11" fillId="4" borderId="258" xfId="0" applyFont="1" applyFill="1" applyBorder="1" applyAlignment="1">
      <alignment horizontal="center"/>
    </xf>
    <xf numFmtId="168" fontId="7" fillId="4" borderId="259" xfId="1" applyNumberFormat="1" applyFont="1" applyFill="1" applyBorder="1" applyAlignment="1">
      <alignment horizontal="center"/>
    </xf>
    <xf numFmtId="0" fontId="11" fillId="5" borderId="258" xfId="0" applyFont="1" applyFill="1" applyBorder="1" applyAlignment="1">
      <alignment horizontal="center"/>
    </xf>
    <xf numFmtId="169" fontId="7" fillId="5" borderId="259" xfId="4" applyNumberFormat="1" applyFont="1" applyFill="1" applyBorder="1" applyAlignment="1">
      <alignment horizontal="center"/>
    </xf>
    <xf numFmtId="0" fontId="12" fillId="0" borderId="258" xfId="0" applyFont="1" applyBorder="1" applyAlignment="1">
      <alignment horizontal="center"/>
    </xf>
    <xf numFmtId="169" fontId="13" fillId="0" borderId="259" xfId="4" applyNumberFormat="1" applyFont="1" applyBorder="1" applyAlignment="1">
      <alignment horizontal="center"/>
    </xf>
    <xf numFmtId="168" fontId="7" fillId="4" borderId="259" xfId="1" applyNumberFormat="1" applyFont="1" applyFill="1" applyBorder="1" applyAlignment="1">
      <alignment horizontal="right"/>
    </xf>
    <xf numFmtId="1" fontId="7" fillId="0" borderId="260" xfId="4" applyNumberFormat="1" applyFont="1" applyBorder="1" applyAlignment="1">
      <alignment horizontal="center"/>
    </xf>
    <xf numFmtId="10" fontId="9" fillId="0" borderId="261" xfId="5" applyFont="1" applyBorder="1" applyAlignment="1">
      <alignment horizontal="center" vertical="center"/>
    </xf>
    <xf numFmtId="0" fontId="11" fillId="0" borderId="262" xfId="0" applyFont="1" applyBorder="1" applyAlignment="1">
      <alignment horizontal="center"/>
    </xf>
    <xf numFmtId="2" fontId="7" fillId="0" borderId="263" xfId="4" applyNumberFormat="1" applyFont="1" applyBorder="1" applyAlignment="1">
      <alignment horizontal="center"/>
    </xf>
    <xf numFmtId="0" fontId="11" fillId="4" borderId="262" xfId="0" applyFont="1" applyFill="1" applyBorder="1" applyAlignment="1">
      <alignment horizontal="center"/>
    </xf>
    <xf numFmtId="168" fontId="7" fillId="4" borderId="263" xfId="1" applyNumberFormat="1" applyFont="1" applyFill="1" applyBorder="1" applyAlignment="1">
      <alignment horizontal="center"/>
    </xf>
    <xf numFmtId="0" fontId="11" fillId="5" borderId="262" xfId="0" applyFont="1" applyFill="1" applyBorder="1" applyAlignment="1">
      <alignment horizontal="center"/>
    </xf>
    <xf numFmtId="169" fontId="7" fillId="5" borderId="263" xfId="4" applyNumberFormat="1" applyFont="1" applyFill="1" applyBorder="1" applyAlignment="1">
      <alignment horizontal="center"/>
    </xf>
    <xf numFmtId="0" fontId="12" fillId="0" borderId="262" xfId="0" applyFont="1" applyBorder="1" applyAlignment="1">
      <alignment horizontal="center"/>
    </xf>
    <xf numFmtId="169" fontId="13" fillId="0" borderId="263" xfId="4" applyNumberFormat="1" applyFont="1" applyBorder="1" applyAlignment="1">
      <alignment horizontal="center"/>
    </xf>
    <xf numFmtId="168" fontId="7" fillId="4" borderId="263" xfId="1" applyNumberFormat="1" applyFont="1" applyFill="1" applyBorder="1" applyAlignment="1">
      <alignment horizontal="right"/>
    </xf>
    <xf numFmtId="1" fontId="7" fillId="0" borderId="264" xfId="4" applyNumberFormat="1" applyFont="1" applyBorder="1" applyAlignment="1">
      <alignment horizontal="center"/>
    </xf>
    <xf numFmtId="10" fontId="9" fillId="0" borderId="265" xfId="5" applyFont="1" applyBorder="1" applyAlignment="1">
      <alignment horizontal="center" vertical="center"/>
    </xf>
    <xf numFmtId="0" fontId="11" fillId="0" borderId="266" xfId="0" applyFont="1" applyBorder="1" applyAlignment="1">
      <alignment horizontal="center"/>
    </xf>
    <xf numFmtId="2" fontId="7" fillId="0" borderId="267" xfId="4" applyNumberFormat="1" applyFont="1" applyBorder="1" applyAlignment="1">
      <alignment horizontal="center"/>
    </xf>
    <xf numFmtId="0" fontId="11" fillId="4" borderId="266" xfId="0" applyFont="1" applyFill="1" applyBorder="1" applyAlignment="1">
      <alignment horizontal="center"/>
    </xf>
    <xf numFmtId="168" fontId="7" fillId="4" borderId="267" xfId="1" applyNumberFormat="1" applyFont="1" applyFill="1" applyBorder="1" applyAlignment="1">
      <alignment horizontal="center"/>
    </xf>
    <xf numFmtId="0" fontId="11" fillId="5" borderId="266" xfId="0" applyFont="1" applyFill="1" applyBorder="1" applyAlignment="1">
      <alignment horizontal="center"/>
    </xf>
    <xf numFmtId="169" fontId="7" fillId="5" borderId="267" xfId="4" applyNumberFormat="1" applyFont="1" applyFill="1" applyBorder="1" applyAlignment="1">
      <alignment horizontal="center"/>
    </xf>
    <xf numFmtId="0" fontId="12" fillId="0" borderId="266" xfId="0" applyFont="1" applyBorder="1" applyAlignment="1">
      <alignment horizontal="center"/>
    </xf>
    <xf numFmtId="169" fontId="13" fillId="0" borderId="267" xfId="4" applyNumberFormat="1" applyFont="1" applyBorder="1" applyAlignment="1">
      <alignment horizontal="center"/>
    </xf>
    <xf numFmtId="168" fontId="7" fillId="4" borderId="267" xfId="1" applyNumberFormat="1" applyFont="1" applyFill="1" applyBorder="1" applyAlignment="1">
      <alignment horizontal="right"/>
    </xf>
    <xf numFmtId="1" fontId="7" fillId="0" borderId="268" xfId="4" applyNumberFormat="1" applyFont="1" applyBorder="1" applyAlignment="1">
      <alignment horizontal="center"/>
    </xf>
    <xf numFmtId="10" fontId="9" fillId="0" borderId="269" xfId="5" applyFont="1" applyBorder="1" applyAlignment="1">
      <alignment horizontal="center" vertical="center"/>
    </xf>
    <xf numFmtId="0" fontId="11" fillId="0" borderId="270" xfId="0" applyFont="1" applyBorder="1" applyAlignment="1">
      <alignment horizontal="center"/>
    </xf>
    <xf numFmtId="2" fontId="7" fillId="0" borderId="271" xfId="4" applyNumberFormat="1" applyFont="1" applyBorder="1" applyAlignment="1">
      <alignment horizontal="center"/>
    </xf>
    <xf numFmtId="0" fontId="11" fillId="4" borderId="270" xfId="0" applyFont="1" applyFill="1" applyBorder="1" applyAlignment="1">
      <alignment horizontal="center"/>
    </xf>
    <xf numFmtId="168" fontId="7" fillId="4" borderId="271" xfId="1" applyNumberFormat="1" applyFont="1" applyFill="1" applyBorder="1" applyAlignment="1">
      <alignment horizontal="center"/>
    </xf>
    <xf numFmtId="0" fontId="11" fillId="5" borderId="270" xfId="0" applyFont="1" applyFill="1" applyBorder="1" applyAlignment="1">
      <alignment horizontal="center"/>
    </xf>
    <xf numFmtId="169" fontId="7" fillId="5" borderId="271" xfId="4" applyNumberFormat="1" applyFont="1" applyFill="1" applyBorder="1" applyAlignment="1">
      <alignment horizontal="center"/>
    </xf>
    <xf numFmtId="0" fontId="12" fillId="0" borderId="270" xfId="0" applyFont="1" applyBorder="1" applyAlignment="1">
      <alignment horizontal="center"/>
    </xf>
    <xf numFmtId="169" fontId="13" fillId="0" borderId="271" xfId="4" applyNumberFormat="1" applyFont="1" applyBorder="1" applyAlignment="1">
      <alignment horizontal="center"/>
    </xf>
    <xf numFmtId="168" fontId="7" fillId="4" borderId="271" xfId="1" applyNumberFormat="1" applyFont="1" applyFill="1" applyBorder="1" applyAlignment="1">
      <alignment horizontal="right"/>
    </xf>
    <xf numFmtId="1" fontId="7" fillId="0" borderId="272" xfId="4" applyNumberFormat="1" applyFont="1" applyBorder="1" applyAlignment="1">
      <alignment horizontal="center"/>
    </xf>
    <xf numFmtId="10" fontId="9" fillId="0" borderId="273" xfId="5" applyFont="1" applyBorder="1" applyAlignment="1">
      <alignment horizontal="center" vertical="center"/>
    </xf>
    <xf numFmtId="0" fontId="11" fillId="0" borderId="274" xfId="0" applyFont="1" applyBorder="1" applyAlignment="1">
      <alignment horizontal="center"/>
    </xf>
    <xf numFmtId="2" fontId="7" fillId="0" borderId="275" xfId="4" applyNumberFormat="1" applyFont="1" applyBorder="1" applyAlignment="1">
      <alignment horizontal="center"/>
    </xf>
    <xf numFmtId="0" fontId="11" fillId="4" borderId="274" xfId="0" applyFont="1" applyFill="1" applyBorder="1" applyAlignment="1">
      <alignment horizontal="center"/>
    </xf>
    <xf numFmtId="168" fontId="7" fillId="4" borderId="275" xfId="1" applyNumberFormat="1" applyFont="1" applyFill="1" applyBorder="1" applyAlignment="1">
      <alignment horizontal="center"/>
    </xf>
    <xf numFmtId="0" fontId="11" fillId="5" borderId="274" xfId="0" applyFont="1" applyFill="1" applyBorder="1" applyAlignment="1">
      <alignment horizontal="center"/>
    </xf>
    <xf numFmtId="169" fontId="7" fillId="5" borderId="275" xfId="4" applyNumberFormat="1" applyFont="1" applyFill="1" applyBorder="1" applyAlignment="1">
      <alignment horizontal="center"/>
    </xf>
    <xf numFmtId="0" fontId="12" fillId="0" borderId="274" xfId="0" applyFont="1" applyBorder="1" applyAlignment="1">
      <alignment horizontal="center"/>
    </xf>
    <xf numFmtId="169" fontId="13" fillId="0" borderId="275" xfId="4" applyNumberFormat="1" applyFont="1" applyBorder="1" applyAlignment="1">
      <alignment horizontal="center"/>
    </xf>
    <xf numFmtId="168" fontId="7" fillId="4" borderId="275" xfId="1" applyNumberFormat="1" applyFont="1" applyFill="1" applyBorder="1" applyAlignment="1">
      <alignment horizontal="right"/>
    </xf>
    <xf numFmtId="1" fontId="7" fillId="0" borderId="276" xfId="4" applyNumberFormat="1" applyFont="1" applyBorder="1" applyAlignment="1">
      <alignment horizontal="center"/>
    </xf>
    <xf numFmtId="10" fontId="9" fillId="0" borderId="277" xfId="5" applyFont="1" applyBorder="1" applyAlignment="1">
      <alignment horizontal="center" vertical="center"/>
    </xf>
    <xf numFmtId="0" fontId="11" fillId="0" borderId="278" xfId="0" applyFont="1" applyBorder="1" applyAlignment="1">
      <alignment horizontal="center"/>
    </xf>
    <xf numFmtId="2" fontId="7" fillId="0" borderId="279" xfId="4" applyNumberFormat="1" applyFont="1" applyBorder="1" applyAlignment="1">
      <alignment horizontal="center"/>
    </xf>
    <xf numFmtId="0" fontId="11" fillId="4" borderId="278" xfId="0" applyFont="1" applyFill="1" applyBorder="1" applyAlignment="1">
      <alignment horizontal="center"/>
    </xf>
    <xf numFmtId="168" fontId="7" fillId="4" borderId="279" xfId="1" applyNumberFormat="1" applyFont="1" applyFill="1" applyBorder="1" applyAlignment="1">
      <alignment horizontal="center"/>
    </xf>
    <xf numFmtId="0" fontId="11" fillId="5" borderId="278" xfId="0" applyFont="1" applyFill="1" applyBorder="1" applyAlignment="1">
      <alignment horizontal="center"/>
    </xf>
    <xf numFmtId="169" fontId="7" fillId="5" borderId="279" xfId="4" applyNumberFormat="1" applyFont="1" applyFill="1" applyBorder="1" applyAlignment="1">
      <alignment horizontal="center"/>
    </xf>
    <xf numFmtId="0" fontId="12" fillId="0" borderId="278" xfId="0" applyFont="1" applyBorder="1" applyAlignment="1">
      <alignment horizontal="center"/>
    </xf>
    <xf numFmtId="169" fontId="13" fillId="0" borderId="279" xfId="4" applyNumberFormat="1" applyFont="1" applyBorder="1" applyAlignment="1">
      <alignment horizontal="center"/>
    </xf>
    <xf numFmtId="168" fontId="7" fillId="4" borderId="279" xfId="1" applyNumberFormat="1" applyFont="1" applyFill="1" applyBorder="1" applyAlignment="1">
      <alignment horizontal="right"/>
    </xf>
    <xf numFmtId="1" fontId="7" fillId="0" borderId="280" xfId="4" applyNumberFormat="1" applyFont="1" applyBorder="1" applyAlignment="1">
      <alignment horizontal="center"/>
    </xf>
    <xf numFmtId="10" fontId="9" fillId="0" borderId="281" xfId="5" applyFont="1" applyBorder="1" applyAlignment="1">
      <alignment horizontal="center" vertical="center"/>
    </xf>
    <xf numFmtId="0" fontId="11" fillId="0" borderId="282" xfId="0" applyFont="1" applyBorder="1" applyAlignment="1">
      <alignment horizontal="center"/>
    </xf>
    <xf numFmtId="2" fontId="7" fillId="0" borderId="283" xfId="4" applyNumberFormat="1" applyFont="1" applyBorder="1" applyAlignment="1">
      <alignment horizontal="center"/>
    </xf>
    <xf numFmtId="0" fontId="11" fillId="4" borderId="282" xfId="0" applyFont="1" applyFill="1" applyBorder="1" applyAlignment="1">
      <alignment horizontal="center"/>
    </xf>
    <xf numFmtId="168" fontId="7" fillId="4" borderId="283" xfId="1" applyNumberFormat="1" applyFont="1" applyFill="1" applyBorder="1" applyAlignment="1">
      <alignment horizontal="center"/>
    </xf>
    <xf numFmtId="0" fontId="11" fillId="5" borderId="282" xfId="0" applyFont="1" applyFill="1" applyBorder="1" applyAlignment="1">
      <alignment horizontal="center"/>
    </xf>
    <xf numFmtId="169" fontId="7" fillId="5" borderId="283" xfId="4" applyNumberFormat="1" applyFont="1" applyFill="1" applyBorder="1" applyAlignment="1">
      <alignment horizontal="center"/>
    </xf>
    <xf numFmtId="0" fontId="12" fillId="0" borderId="282" xfId="0" applyFont="1" applyBorder="1" applyAlignment="1">
      <alignment horizontal="center"/>
    </xf>
    <xf numFmtId="169" fontId="13" fillId="0" borderId="283" xfId="4" applyNumberFormat="1" applyFont="1" applyBorder="1" applyAlignment="1">
      <alignment horizontal="center"/>
    </xf>
    <xf numFmtId="168" fontId="7" fillId="4" borderId="283" xfId="1" applyNumberFormat="1" applyFont="1" applyFill="1" applyBorder="1" applyAlignment="1">
      <alignment horizontal="right"/>
    </xf>
    <xf numFmtId="1" fontId="7" fillId="0" borderId="284" xfId="4" applyNumberFormat="1" applyFont="1" applyBorder="1" applyAlignment="1">
      <alignment horizontal="center"/>
    </xf>
    <xf numFmtId="10" fontId="9" fillId="0" borderId="285" xfId="5" applyFont="1" applyBorder="1" applyAlignment="1">
      <alignment horizontal="center" vertical="center"/>
    </xf>
    <xf numFmtId="0" fontId="11" fillId="0" borderId="286" xfId="0" applyFont="1" applyBorder="1" applyAlignment="1">
      <alignment horizontal="center"/>
    </xf>
    <xf numFmtId="2" fontId="7" fillId="0" borderId="287" xfId="4" applyNumberFormat="1" applyFont="1" applyBorder="1" applyAlignment="1">
      <alignment horizontal="center"/>
    </xf>
    <xf numFmtId="0" fontId="11" fillId="4" borderId="286" xfId="0" applyFont="1" applyFill="1" applyBorder="1" applyAlignment="1">
      <alignment horizontal="center"/>
    </xf>
    <xf numFmtId="168" fontId="7" fillId="4" borderId="287" xfId="1" applyNumberFormat="1" applyFont="1" applyFill="1" applyBorder="1" applyAlignment="1">
      <alignment horizontal="center"/>
    </xf>
    <xf numFmtId="0" fontId="11" fillId="5" borderId="286" xfId="0" applyFont="1" applyFill="1" applyBorder="1" applyAlignment="1">
      <alignment horizontal="center"/>
    </xf>
    <xf numFmtId="169" fontId="7" fillId="5" borderId="287" xfId="4" applyNumberFormat="1" applyFont="1" applyFill="1" applyBorder="1" applyAlignment="1">
      <alignment horizontal="center"/>
    </xf>
    <xf numFmtId="0" fontId="12" fillId="0" borderId="286" xfId="0" applyFont="1" applyBorder="1" applyAlignment="1">
      <alignment horizontal="center"/>
    </xf>
    <xf numFmtId="169" fontId="13" fillId="0" borderId="287" xfId="4" applyNumberFormat="1" applyFont="1" applyBorder="1" applyAlignment="1">
      <alignment horizontal="center"/>
    </xf>
    <xf numFmtId="168" fontId="7" fillId="4" borderId="287" xfId="1" applyNumberFormat="1" applyFont="1" applyFill="1" applyBorder="1" applyAlignment="1">
      <alignment horizontal="right"/>
    </xf>
    <xf numFmtId="1" fontId="7" fillId="0" borderId="288" xfId="4" applyNumberFormat="1" applyFont="1" applyBorder="1" applyAlignment="1">
      <alignment horizontal="center"/>
    </xf>
    <xf numFmtId="10" fontId="9" fillId="0" borderId="289" xfId="5" applyFont="1" applyBorder="1" applyAlignment="1">
      <alignment horizontal="center" vertical="center"/>
    </xf>
    <xf numFmtId="0" fontId="11" fillId="0" borderId="290" xfId="0" applyFont="1" applyBorder="1" applyAlignment="1">
      <alignment horizontal="center"/>
    </xf>
    <xf numFmtId="2" fontId="7" fillId="0" borderId="291" xfId="4" applyNumberFormat="1" applyFont="1" applyBorder="1" applyAlignment="1">
      <alignment horizontal="center"/>
    </xf>
    <xf numFmtId="0" fontId="11" fillId="4" borderId="290" xfId="0" applyFont="1" applyFill="1" applyBorder="1" applyAlignment="1">
      <alignment horizontal="center"/>
    </xf>
    <xf numFmtId="168" fontId="7" fillId="4" borderId="291" xfId="1" applyNumberFormat="1" applyFont="1" applyFill="1" applyBorder="1" applyAlignment="1">
      <alignment horizontal="center"/>
    </xf>
    <xf numFmtId="0" fontId="11" fillId="5" borderId="290" xfId="0" applyFont="1" applyFill="1" applyBorder="1" applyAlignment="1">
      <alignment horizontal="center"/>
    </xf>
    <xf numFmtId="169" fontId="7" fillId="5" borderId="291" xfId="4" applyNumberFormat="1" applyFont="1" applyFill="1" applyBorder="1" applyAlignment="1">
      <alignment horizontal="center"/>
    </xf>
    <xf numFmtId="0" fontId="12" fillId="0" borderId="290" xfId="0" applyFont="1" applyBorder="1" applyAlignment="1">
      <alignment horizontal="center"/>
    </xf>
    <xf numFmtId="169" fontId="13" fillId="0" borderId="291" xfId="4" applyNumberFormat="1" applyFont="1" applyBorder="1" applyAlignment="1">
      <alignment horizontal="center"/>
    </xf>
    <xf numFmtId="168" fontId="7" fillId="4" borderId="291" xfId="1" applyNumberFormat="1" applyFont="1" applyFill="1" applyBorder="1" applyAlignment="1">
      <alignment horizontal="right"/>
    </xf>
    <xf numFmtId="1" fontId="7" fillId="0" borderId="292" xfId="4" applyNumberFormat="1" applyFont="1" applyBorder="1" applyAlignment="1">
      <alignment horizontal="center"/>
    </xf>
    <xf numFmtId="10" fontId="9" fillId="0" borderId="293" xfId="5" applyFont="1" applyBorder="1" applyAlignment="1">
      <alignment horizontal="center" vertical="center"/>
    </xf>
    <xf numFmtId="0" fontId="11" fillId="0" borderId="294" xfId="0" applyFont="1" applyBorder="1" applyAlignment="1">
      <alignment horizontal="center"/>
    </xf>
    <xf numFmtId="2" fontId="7" fillId="0" borderId="295" xfId="4" applyNumberFormat="1" applyFont="1" applyBorder="1" applyAlignment="1">
      <alignment horizontal="center"/>
    </xf>
    <xf numFmtId="0" fontId="11" fillId="4" borderId="294" xfId="0" applyFont="1" applyFill="1" applyBorder="1" applyAlignment="1">
      <alignment horizontal="center"/>
    </xf>
    <xf numFmtId="168" fontId="7" fillId="4" borderId="295" xfId="1" applyNumberFormat="1" applyFont="1" applyFill="1" applyBorder="1" applyAlignment="1">
      <alignment horizontal="center"/>
    </xf>
    <xf numFmtId="0" fontId="11" fillId="5" borderId="294" xfId="0" applyFont="1" applyFill="1" applyBorder="1" applyAlignment="1">
      <alignment horizontal="center"/>
    </xf>
    <xf numFmtId="169" fontId="7" fillId="5" borderId="295" xfId="4" applyNumberFormat="1" applyFont="1" applyFill="1" applyBorder="1" applyAlignment="1">
      <alignment horizontal="center"/>
    </xf>
    <xf numFmtId="0" fontId="12" fillId="0" borderId="294" xfId="0" applyFont="1" applyBorder="1" applyAlignment="1">
      <alignment horizontal="center"/>
    </xf>
    <xf numFmtId="169" fontId="13" fillId="0" borderId="295" xfId="4" applyNumberFormat="1" applyFont="1" applyBorder="1" applyAlignment="1">
      <alignment horizontal="center"/>
    </xf>
    <xf numFmtId="168" fontId="7" fillId="4" borderId="295" xfId="1" applyNumberFormat="1" applyFont="1" applyFill="1" applyBorder="1" applyAlignment="1">
      <alignment horizontal="right"/>
    </xf>
    <xf numFmtId="1" fontId="7" fillId="0" borderId="296" xfId="4" applyNumberFormat="1" applyFont="1" applyBorder="1" applyAlignment="1">
      <alignment horizontal="center"/>
    </xf>
    <xf numFmtId="10" fontId="9" fillId="0" borderId="297" xfId="5" applyFont="1" applyBorder="1" applyAlignment="1">
      <alignment horizontal="center" vertical="center"/>
    </xf>
    <xf numFmtId="0" fontId="11" fillId="0" borderId="298" xfId="0" applyFont="1" applyBorder="1" applyAlignment="1">
      <alignment horizontal="center"/>
    </xf>
    <xf numFmtId="2" fontId="7" fillId="0" borderId="299" xfId="4" applyNumberFormat="1" applyFont="1" applyBorder="1" applyAlignment="1">
      <alignment horizontal="center"/>
    </xf>
    <xf numFmtId="0" fontId="11" fillId="4" borderId="298" xfId="0" applyFont="1" applyFill="1" applyBorder="1" applyAlignment="1">
      <alignment horizontal="center"/>
    </xf>
    <xf numFmtId="168" fontId="7" fillId="4" borderId="299" xfId="1" applyNumberFormat="1" applyFont="1" applyFill="1" applyBorder="1" applyAlignment="1">
      <alignment horizontal="center"/>
    </xf>
    <xf numFmtId="0" fontId="11" fillId="5" borderId="298" xfId="0" applyFont="1" applyFill="1" applyBorder="1" applyAlignment="1">
      <alignment horizontal="center"/>
    </xf>
    <xf numFmtId="169" fontId="7" fillId="5" borderId="299" xfId="4" applyNumberFormat="1" applyFont="1" applyFill="1" applyBorder="1" applyAlignment="1">
      <alignment horizontal="center"/>
    </xf>
    <xf numFmtId="0" fontId="12" fillId="0" borderId="298" xfId="0" applyFont="1" applyBorder="1" applyAlignment="1">
      <alignment horizontal="center"/>
    </xf>
    <xf numFmtId="169" fontId="13" fillId="0" borderId="299" xfId="4" applyNumberFormat="1" applyFont="1" applyBorder="1" applyAlignment="1">
      <alignment horizontal="center"/>
    </xf>
    <xf numFmtId="168" fontId="7" fillId="4" borderId="299" xfId="1" applyNumberFormat="1" applyFont="1" applyFill="1" applyBorder="1" applyAlignment="1">
      <alignment horizontal="right"/>
    </xf>
    <xf numFmtId="1" fontId="7" fillId="0" borderId="300" xfId="4" applyNumberFormat="1" applyFont="1" applyBorder="1" applyAlignment="1">
      <alignment horizontal="center"/>
    </xf>
    <xf numFmtId="10" fontId="9" fillId="0" borderId="301" xfId="5" applyFont="1" applyBorder="1" applyAlignment="1">
      <alignment horizontal="center" vertical="center"/>
    </xf>
    <xf numFmtId="0" fontId="11" fillId="0" borderId="302" xfId="0" applyFont="1" applyBorder="1" applyAlignment="1">
      <alignment horizontal="center"/>
    </xf>
    <xf numFmtId="2" fontId="7" fillId="0" borderId="303" xfId="4" applyNumberFormat="1" applyFont="1" applyBorder="1" applyAlignment="1">
      <alignment horizontal="center"/>
    </xf>
    <xf numFmtId="0" fontId="11" fillId="4" borderId="302" xfId="0" applyFont="1" applyFill="1" applyBorder="1" applyAlignment="1">
      <alignment horizontal="center"/>
    </xf>
    <xf numFmtId="168" fontId="7" fillId="4" borderId="303" xfId="1" applyNumberFormat="1" applyFont="1" applyFill="1" applyBorder="1" applyAlignment="1">
      <alignment horizontal="center"/>
    </xf>
    <xf numFmtId="0" fontId="11" fillId="5" borderId="302" xfId="0" applyFont="1" applyFill="1" applyBorder="1" applyAlignment="1">
      <alignment horizontal="center"/>
    </xf>
    <xf numFmtId="169" fontId="7" fillId="5" borderId="303" xfId="4" applyNumberFormat="1" applyFont="1" applyFill="1" applyBorder="1" applyAlignment="1">
      <alignment horizontal="center"/>
    </xf>
    <xf numFmtId="0" fontId="12" fillId="0" borderId="302" xfId="0" applyFont="1" applyBorder="1" applyAlignment="1">
      <alignment horizontal="center"/>
    </xf>
    <xf numFmtId="169" fontId="13" fillId="0" borderId="303" xfId="4" applyNumberFormat="1" applyFont="1" applyBorder="1" applyAlignment="1">
      <alignment horizontal="center"/>
    </xf>
    <xf numFmtId="168" fontId="7" fillId="4" borderId="303" xfId="1" applyNumberFormat="1" applyFont="1" applyFill="1" applyBorder="1" applyAlignment="1">
      <alignment horizontal="right"/>
    </xf>
    <xf numFmtId="1" fontId="7" fillId="0" borderId="304" xfId="4" applyNumberFormat="1" applyFont="1" applyBorder="1" applyAlignment="1">
      <alignment horizontal="center"/>
    </xf>
    <xf numFmtId="10" fontId="9" fillId="0" borderId="305" xfId="5" applyFont="1" applyBorder="1" applyAlignment="1">
      <alignment horizontal="center" vertical="center"/>
    </xf>
    <xf numFmtId="0" fontId="11" fillId="0" borderId="306" xfId="0" applyFont="1" applyBorder="1" applyAlignment="1">
      <alignment horizontal="center"/>
    </xf>
    <xf numFmtId="2" fontId="7" fillId="0" borderId="307" xfId="4" applyNumberFormat="1" applyFont="1" applyBorder="1" applyAlignment="1">
      <alignment horizontal="center"/>
    </xf>
    <xf numFmtId="0" fontId="11" fillId="4" borderId="306" xfId="0" applyFont="1" applyFill="1" applyBorder="1" applyAlignment="1">
      <alignment horizontal="center"/>
    </xf>
    <xf numFmtId="168" fontId="7" fillId="4" borderId="307" xfId="1" applyNumberFormat="1" applyFont="1" applyFill="1" applyBorder="1" applyAlignment="1">
      <alignment horizontal="center"/>
    </xf>
    <xf numFmtId="0" fontId="11" fillId="5" borderId="306" xfId="0" applyFont="1" applyFill="1" applyBorder="1" applyAlignment="1">
      <alignment horizontal="center"/>
    </xf>
    <xf numFmtId="169" fontId="7" fillId="5" borderId="307" xfId="4" applyNumberFormat="1" applyFont="1" applyFill="1" applyBorder="1" applyAlignment="1">
      <alignment horizontal="center"/>
    </xf>
    <xf numFmtId="0" fontId="12" fillId="0" borderId="306" xfId="0" applyFont="1" applyBorder="1" applyAlignment="1">
      <alignment horizontal="center"/>
    </xf>
    <xf numFmtId="169" fontId="13" fillId="0" borderId="307" xfId="4" applyNumberFormat="1" applyFont="1" applyBorder="1" applyAlignment="1">
      <alignment horizontal="center"/>
    </xf>
    <xf numFmtId="168" fontId="7" fillId="4" borderId="307" xfId="1" applyNumberFormat="1" applyFont="1" applyFill="1" applyBorder="1" applyAlignment="1">
      <alignment horizontal="right"/>
    </xf>
    <xf numFmtId="1" fontId="7" fillId="0" borderId="308" xfId="4" applyNumberFormat="1" applyFont="1" applyBorder="1" applyAlignment="1">
      <alignment horizontal="center"/>
    </xf>
    <xf numFmtId="10" fontId="9" fillId="0" borderId="309" xfId="5" applyFont="1" applyBorder="1" applyAlignment="1">
      <alignment horizontal="center" vertical="center"/>
    </xf>
    <xf numFmtId="0" fontId="11" fillId="0" borderId="310" xfId="0" applyFont="1" applyBorder="1" applyAlignment="1">
      <alignment horizontal="center"/>
    </xf>
    <xf numFmtId="2" fontId="7" fillId="0" borderId="311" xfId="4" applyNumberFormat="1" applyFont="1" applyBorder="1" applyAlignment="1">
      <alignment horizontal="center"/>
    </xf>
    <xf numFmtId="0" fontId="11" fillId="4" borderId="310" xfId="0" applyFont="1" applyFill="1" applyBorder="1" applyAlignment="1">
      <alignment horizontal="center"/>
    </xf>
    <xf numFmtId="168" fontId="7" fillId="4" borderId="311" xfId="1" applyNumberFormat="1" applyFont="1" applyFill="1" applyBorder="1" applyAlignment="1">
      <alignment horizontal="center"/>
    </xf>
    <xf numFmtId="0" fontId="11" fillId="5" borderId="310" xfId="0" applyFont="1" applyFill="1" applyBorder="1" applyAlignment="1">
      <alignment horizontal="center"/>
    </xf>
    <xf numFmtId="169" fontId="7" fillId="5" borderId="311" xfId="4" applyNumberFormat="1" applyFont="1" applyFill="1" applyBorder="1" applyAlignment="1">
      <alignment horizontal="center"/>
    </xf>
    <xf numFmtId="0" fontId="12" fillId="0" borderId="310" xfId="0" applyFont="1" applyBorder="1" applyAlignment="1">
      <alignment horizontal="center"/>
    </xf>
    <xf numFmtId="169" fontId="13" fillId="0" borderId="311" xfId="4" applyNumberFormat="1" applyFont="1" applyBorder="1" applyAlignment="1">
      <alignment horizontal="center"/>
    </xf>
    <xf numFmtId="168" fontId="7" fillId="4" borderId="311" xfId="1" applyNumberFormat="1" applyFont="1" applyFill="1" applyBorder="1" applyAlignment="1">
      <alignment horizontal="right"/>
    </xf>
    <xf numFmtId="1" fontId="7" fillId="0" borderId="312" xfId="4" applyNumberFormat="1" applyFont="1" applyBorder="1" applyAlignment="1">
      <alignment horizontal="center"/>
    </xf>
    <xf numFmtId="10" fontId="9" fillId="0" borderId="313" xfId="5" applyFont="1" applyBorder="1" applyAlignment="1">
      <alignment horizontal="center" vertical="center"/>
    </xf>
    <xf numFmtId="0" fontId="11" fillId="0" borderId="314" xfId="0" applyFont="1" applyBorder="1" applyAlignment="1">
      <alignment horizontal="center"/>
    </xf>
    <xf numFmtId="2" fontId="7" fillId="0" borderId="315" xfId="4" applyNumberFormat="1" applyFont="1" applyBorder="1" applyAlignment="1">
      <alignment horizontal="center"/>
    </xf>
    <xf numFmtId="0" fontId="11" fillId="4" borderId="314" xfId="0" applyFont="1" applyFill="1" applyBorder="1" applyAlignment="1">
      <alignment horizontal="center"/>
    </xf>
    <xf numFmtId="168" fontId="7" fillId="4" borderId="315" xfId="1" applyNumberFormat="1" applyFont="1" applyFill="1" applyBorder="1" applyAlignment="1">
      <alignment horizontal="center"/>
    </xf>
    <xf numFmtId="0" fontId="11" fillId="5" borderId="314" xfId="0" applyFont="1" applyFill="1" applyBorder="1" applyAlignment="1">
      <alignment horizontal="center"/>
    </xf>
    <xf numFmtId="169" fontId="7" fillId="5" borderId="315" xfId="4" applyNumberFormat="1" applyFont="1" applyFill="1" applyBorder="1" applyAlignment="1">
      <alignment horizontal="center"/>
    </xf>
    <xf numFmtId="0" fontId="12" fillId="0" borderId="314" xfId="0" applyFont="1" applyBorder="1" applyAlignment="1">
      <alignment horizontal="center"/>
    </xf>
    <xf numFmtId="169" fontId="13" fillId="0" borderId="315" xfId="4" applyNumberFormat="1" applyFont="1" applyBorder="1" applyAlignment="1">
      <alignment horizontal="center"/>
    </xf>
    <xf numFmtId="168" fontId="7" fillId="4" borderId="315" xfId="1" applyNumberFormat="1" applyFont="1" applyFill="1" applyBorder="1" applyAlignment="1">
      <alignment horizontal="right"/>
    </xf>
    <xf numFmtId="1" fontId="7" fillId="0" borderId="316" xfId="4" applyNumberFormat="1" applyFont="1" applyBorder="1" applyAlignment="1">
      <alignment horizontal="center"/>
    </xf>
    <xf numFmtId="10" fontId="9" fillId="0" borderId="317" xfId="5" applyFont="1" applyBorder="1" applyAlignment="1">
      <alignment horizontal="center" vertical="center"/>
    </xf>
    <xf numFmtId="0" fontId="11" fillId="0" borderId="318" xfId="0" applyFont="1" applyBorder="1" applyAlignment="1">
      <alignment horizontal="center"/>
    </xf>
    <xf numFmtId="2" fontId="7" fillId="0" borderId="319" xfId="4" applyNumberFormat="1" applyFont="1" applyBorder="1" applyAlignment="1">
      <alignment horizontal="center"/>
    </xf>
    <xf numFmtId="0" fontId="11" fillId="4" borderId="318" xfId="0" applyFont="1" applyFill="1" applyBorder="1" applyAlignment="1">
      <alignment horizontal="center"/>
    </xf>
    <xf numFmtId="168" fontId="7" fillId="4" borderId="319" xfId="1" applyNumberFormat="1" applyFont="1" applyFill="1" applyBorder="1" applyAlignment="1">
      <alignment horizontal="center"/>
    </xf>
    <xf numFmtId="0" fontId="11" fillId="5" borderId="318" xfId="0" applyFont="1" applyFill="1" applyBorder="1" applyAlignment="1">
      <alignment horizontal="center"/>
    </xf>
    <xf numFmtId="169" fontId="7" fillId="5" borderId="319" xfId="4" applyNumberFormat="1" applyFont="1" applyFill="1" applyBorder="1" applyAlignment="1">
      <alignment horizontal="center"/>
    </xf>
    <xf numFmtId="0" fontId="12" fillId="0" borderId="318" xfId="0" applyFont="1" applyBorder="1" applyAlignment="1">
      <alignment horizontal="center"/>
    </xf>
    <xf numFmtId="169" fontId="13" fillId="0" borderId="319" xfId="4" applyNumberFormat="1" applyFont="1" applyBorder="1" applyAlignment="1">
      <alignment horizontal="center"/>
    </xf>
    <xf numFmtId="168" fontId="7" fillId="4" borderId="319" xfId="1" applyNumberFormat="1" applyFont="1" applyFill="1" applyBorder="1" applyAlignment="1">
      <alignment horizontal="right"/>
    </xf>
    <xf numFmtId="1" fontId="7" fillId="0" borderId="320" xfId="4" applyNumberFormat="1" applyFont="1" applyBorder="1" applyAlignment="1">
      <alignment horizontal="center"/>
    </xf>
    <xf numFmtId="10" fontId="9" fillId="0" borderId="321" xfId="5" applyFont="1" applyBorder="1" applyAlignment="1">
      <alignment horizontal="center" vertical="center"/>
    </xf>
    <xf numFmtId="0" fontId="11" fillId="0" borderId="322" xfId="0" applyFont="1" applyBorder="1" applyAlignment="1">
      <alignment horizontal="center"/>
    </xf>
    <xf numFmtId="2" fontId="7" fillId="0" borderId="323" xfId="4" applyNumberFormat="1" applyFont="1" applyBorder="1" applyAlignment="1">
      <alignment horizontal="center"/>
    </xf>
    <xf numFmtId="0" fontId="11" fillId="4" borderId="322" xfId="0" applyFont="1" applyFill="1" applyBorder="1" applyAlignment="1">
      <alignment horizontal="center"/>
    </xf>
    <xf numFmtId="168" fontId="7" fillId="4" borderId="323" xfId="1" applyNumberFormat="1" applyFont="1" applyFill="1" applyBorder="1" applyAlignment="1">
      <alignment horizontal="center"/>
    </xf>
    <xf numFmtId="0" fontId="11" fillId="5" borderId="322" xfId="0" applyFont="1" applyFill="1" applyBorder="1" applyAlignment="1">
      <alignment horizontal="center"/>
    </xf>
    <xf numFmtId="169" fontId="7" fillId="5" borderId="323" xfId="4" applyNumberFormat="1" applyFont="1" applyFill="1" applyBorder="1" applyAlignment="1">
      <alignment horizontal="center"/>
    </xf>
    <xf numFmtId="0" fontId="12" fillId="0" borderId="322" xfId="0" applyFont="1" applyBorder="1" applyAlignment="1">
      <alignment horizontal="center"/>
    </xf>
    <xf numFmtId="169" fontId="13" fillId="0" borderId="323" xfId="4" applyNumberFormat="1" applyFont="1" applyBorder="1" applyAlignment="1">
      <alignment horizontal="center"/>
    </xf>
    <xf numFmtId="168" fontId="7" fillId="4" borderId="323" xfId="1" applyNumberFormat="1" applyFont="1" applyFill="1" applyBorder="1" applyAlignment="1">
      <alignment horizontal="right"/>
    </xf>
    <xf numFmtId="1" fontId="7" fillId="0" borderId="324" xfId="4" applyNumberFormat="1" applyFont="1" applyBorder="1" applyAlignment="1">
      <alignment horizontal="center"/>
    </xf>
    <xf numFmtId="10" fontId="9" fillId="0" borderId="325" xfId="5" applyFont="1" applyBorder="1" applyAlignment="1">
      <alignment horizontal="center" vertical="center"/>
    </xf>
    <xf numFmtId="0" fontId="11" fillId="0" borderId="326" xfId="0" applyFont="1" applyBorder="1" applyAlignment="1">
      <alignment horizontal="center"/>
    </xf>
    <xf numFmtId="2" fontId="7" fillId="0" borderId="327" xfId="4" applyNumberFormat="1" applyFont="1" applyBorder="1" applyAlignment="1">
      <alignment horizontal="center"/>
    </xf>
    <xf numFmtId="0" fontId="11" fillId="4" borderId="326" xfId="0" applyFont="1" applyFill="1" applyBorder="1" applyAlignment="1">
      <alignment horizontal="center"/>
    </xf>
    <xf numFmtId="168" fontId="7" fillId="4" borderId="327" xfId="1" applyNumberFormat="1" applyFont="1" applyFill="1" applyBorder="1" applyAlignment="1">
      <alignment horizontal="center"/>
    </xf>
    <xf numFmtId="0" fontId="11" fillId="5" borderId="326" xfId="0" applyFont="1" applyFill="1" applyBorder="1" applyAlignment="1">
      <alignment horizontal="center"/>
    </xf>
    <xf numFmtId="169" fontId="7" fillId="5" borderId="327" xfId="4" applyNumberFormat="1" applyFont="1" applyFill="1" applyBorder="1" applyAlignment="1">
      <alignment horizontal="center"/>
    </xf>
    <xf numFmtId="0" fontId="12" fillId="0" borderId="326" xfId="0" applyFont="1" applyBorder="1" applyAlignment="1">
      <alignment horizontal="center"/>
    </xf>
    <xf numFmtId="169" fontId="13" fillId="0" borderId="327" xfId="4" applyNumberFormat="1" applyFont="1" applyBorder="1" applyAlignment="1">
      <alignment horizontal="center"/>
    </xf>
    <xf numFmtId="168" fontId="7" fillId="4" borderId="327" xfId="1" applyNumberFormat="1" applyFont="1" applyFill="1" applyBorder="1" applyAlignment="1">
      <alignment horizontal="right"/>
    </xf>
    <xf numFmtId="1" fontId="7" fillId="0" borderId="328" xfId="4" applyNumberFormat="1" applyFont="1" applyBorder="1" applyAlignment="1">
      <alignment horizontal="center"/>
    </xf>
    <xf numFmtId="10" fontId="9" fillId="0" borderId="329" xfId="5" applyFont="1" applyBorder="1" applyAlignment="1">
      <alignment horizontal="center" vertical="center"/>
    </xf>
    <xf numFmtId="0" fontId="11" fillId="0" borderId="330" xfId="0" applyFont="1" applyBorder="1" applyAlignment="1">
      <alignment horizontal="center"/>
    </xf>
    <xf numFmtId="2" fontId="7" fillId="0" borderId="331" xfId="4" applyNumberFormat="1" applyFont="1" applyBorder="1" applyAlignment="1">
      <alignment horizontal="center"/>
    </xf>
    <xf numFmtId="0" fontId="11" fillId="4" borderId="330" xfId="0" applyFont="1" applyFill="1" applyBorder="1" applyAlignment="1">
      <alignment horizontal="center"/>
    </xf>
    <xf numFmtId="168" fontId="7" fillId="4" borderId="331" xfId="1" applyNumberFormat="1" applyFont="1" applyFill="1" applyBorder="1" applyAlignment="1">
      <alignment horizontal="center"/>
    </xf>
    <xf numFmtId="0" fontId="11" fillId="5" borderId="330" xfId="0" applyFont="1" applyFill="1" applyBorder="1" applyAlignment="1">
      <alignment horizontal="center"/>
    </xf>
    <xf numFmtId="169" fontId="7" fillId="5" borderId="331" xfId="4" applyNumberFormat="1" applyFont="1" applyFill="1" applyBorder="1" applyAlignment="1">
      <alignment horizontal="center"/>
    </xf>
    <xf numFmtId="0" fontId="12" fillId="0" borderId="330" xfId="0" applyFont="1" applyBorder="1" applyAlignment="1">
      <alignment horizontal="center"/>
    </xf>
    <xf numFmtId="169" fontId="13" fillId="0" borderId="331" xfId="4" applyNumberFormat="1" applyFont="1" applyBorder="1" applyAlignment="1">
      <alignment horizontal="center"/>
    </xf>
    <xf numFmtId="168" fontId="7" fillId="4" borderId="331" xfId="1" applyNumberFormat="1" applyFont="1" applyFill="1" applyBorder="1" applyAlignment="1">
      <alignment horizontal="right"/>
    </xf>
    <xf numFmtId="1" fontId="7" fillId="0" borderId="332" xfId="4" applyNumberFormat="1" applyFont="1" applyBorder="1" applyAlignment="1">
      <alignment horizontal="center"/>
    </xf>
    <xf numFmtId="10" fontId="9" fillId="0" borderId="333" xfId="5" applyFont="1" applyBorder="1" applyAlignment="1">
      <alignment horizontal="center" vertical="center"/>
    </xf>
    <xf numFmtId="0" fontId="11" fillId="0" borderId="334" xfId="0" applyFont="1" applyBorder="1" applyAlignment="1">
      <alignment horizontal="center"/>
    </xf>
    <xf numFmtId="2" fontId="7" fillId="0" borderId="335" xfId="4" applyNumberFormat="1" applyFont="1" applyBorder="1" applyAlignment="1">
      <alignment horizontal="center"/>
    </xf>
    <xf numFmtId="0" fontId="11" fillId="4" borderId="334" xfId="0" applyFont="1" applyFill="1" applyBorder="1" applyAlignment="1">
      <alignment horizontal="center"/>
    </xf>
    <xf numFmtId="168" fontId="7" fillId="4" borderId="335" xfId="1" applyNumberFormat="1" applyFont="1" applyFill="1" applyBorder="1" applyAlignment="1">
      <alignment horizontal="center"/>
    </xf>
    <xf numFmtId="0" fontId="11" fillId="5" borderId="334" xfId="0" applyFont="1" applyFill="1" applyBorder="1" applyAlignment="1">
      <alignment horizontal="center"/>
    </xf>
    <xf numFmtId="169" fontId="7" fillId="5" borderId="335" xfId="4" applyNumberFormat="1" applyFont="1" applyFill="1" applyBorder="1" applyAlignment="1">
      <alignment horizontal="center"/>
    </xf>
    <xf numFmtId="0" fontId="12" fillId="0" borderId="334" xfId="0" applyFont="1" applyBorder="1" applyAlignment="1">
      <alignment horizontal="center"/>
    </xf>
    <xf numFmtId="169" fontId="13" fillId="0" borderId="335" xfId="4" applyNumberFormat="1" applyFont="1" applyBorder="1" applyAlignment="1">
      <alignment horizontal="center"/>
    </xf>
    <xf numFmtId="168" fontId="7" fillId="4" borderId="335" xfId="1" applyNumberFormat="1" applyFont="1" applyFill="1" applyBorder="1" applyAlignment="1">
      <alignment horizontal="right"/>
    </xf>
    <xf numFmtId="1" fontId="7" fillId="0" borderId="336" xfId="4" applyNumberFormat="1" applyFont="1" applyBorder="1" applyAlignment="1">
      <alignment horizontal="center"/>
    </xf>
    <xf numFmtId="10" fontId="9" fillId="0" borderId="337" xfId="5" applyFont="1" applyBorder="1" applyAlignment="1">
      <alignment horizontal="center" vertical="center"/>
    </xf>
    <xf numFmtId="0" fontId="11" fillId="0" borderId="338" xfId="0" applyFont="1" applyBorder="1" applyAlignment="1">
      <alignment horizontal="center"/>
    </xf>
    <xf numFmtId="2" fontId="7" fillId="0" borderId="339" xfId="4" applyNumberFormat="1" applyFont="1" applyBorder="1" applyAlignment="1">
      <alignment horizontal="center"/>
    </xf>
    <xf numFmtId="0" fontId="11" fillId="4" borderId="338" xfId="0" applyFont="1" applyFill="1" applyBorder="1" applyAlignment="1">
      <alignment horizontal="center"/>
    </xf>
    <xf numFmtId="168" fontId="7" fillId="4" borderId="339" xfId="1" applyNumberFormat="1" applyFont="1" applyFill="1" applyBorder="1" applyAlignment="1">
      <alignment horizontal="center"/>
    </xf>
    <xf numFmtId="0" fontId="11" fillId="5" borderId="338" xfId="0" applyFont="1" applyFill="1" applyBorder="1" applyAlignment="1">
      <alignment horizontal="center"/>
    </xf>
    <xf numFmtId="169" fontId="7" fillId="5" borderId="339" xfId="4" applyNumberFormat="1" applyFont="1" applyFill="1" applyBorder="1" applyAlignment="1">
      <alignment horizontal="center"/>
    </xf>
    <xf numFmtId="0" fontId="12" fillId="0" borderId="338" xfId="0" applyFont="1" applyBorder="1" applyAlignment="1">
      <alignment horizontal="center"/>
    </xf>
    <xf numFmtId="169" fontId="13" fillId="0" borderId="339" xfId="4" applyNumberFormat="1" applyFont="1" applyBorder="1" applyAlignment="1">
      <alignment horizontal="center"/>
    </xf>
    <xf numFmtId="168" fontId="7" fillId="4" borderId="339" xfId="1" applyNumberFormat="1" applyFont="1" applyFill="1" applyBorder="1" applyAlignment="1">
      <alignment horizontal="right"/>
    </xf>
    <xf numFmtId="1" fontId="7" fillId="0" borderId="340" xfId="4" applyNumberFormat="1" applyFont="1" applyBorder="1" applyAlignment="1">
      <alignment horizontal="center"/>
    </xf>
    <xf numFmtId="10" fontId="9" fillId="0" borderId="341" xfId="5" applyFont="1" applyBorder="1" applyAlignment="1">
      <alignment horizontal="center" vertical="center"/>
    </xf>
    <xf numFmtId="0" fontId="11" fillId="0" borderId="342" xfId="0" applyFont="1" applyBorder="1" applyAlignment="1">
      <alignment horizontal="center"/>
    </xf>
    <xf numFmtId="2" fontId="7" fillId="0" borderId="343" xfId="4" applyNumberFormat="1" applyFont="1" applyBorder="1" applyAlignment="1">
      <alignment horizontal="center"/>
    </xf>
    <xf numFmtId="0" fontId="11" fillId="4" borderId="342" xfId="0" applyFont="1" applyFill="1" applyBorder="1" applyAlignment="1">
      <alignment horizontal="center"/>
    </xf>
    <xf numFmtId="168" fontId="7" fillId="4" borderId="343" xfId="1" applyNumberFormat="1" applyFont="1" applyFill="1" applyBorder="1" applyAlignment="1">
      <alignment horizontal="center"/>
    </xf>
    <xf numFmtId="0" fontId="11" fillId="5" borderId="342" xfId="0" applyFont="1" applyFill="1" applyBorder="1" applyAlignment="1">
      <alignment horizontal="center"/>
    </xf>
    <xf numFmtId="169" fontId="7" fillId="5" borderId="343" xfId="4" applyNumberFormat="1" applyFont="1" applyFill="1" applyBorder="1" applyAlignment="1">
      <alignment horizontal="center"/>
    </xf>
    <xf numFmtId="0" fontId="12" fillId="0" borderId="342" xfId="0" applyFont="1" applyBorder="1" applyAlignment="1">
      <alignment horizontal="center"/>
    </xf>
    <xf numFmtId="169" fontId="13" fillId="0" borderId="343" xfId="4" applyNumberFormat="1" applyFont="1" applyBorder="1" applyAlignment="1">
      <alignment horizontal="center"/>
    </xf>
    <xf numFmtId="168" fontId="7" fillId="4" borderId="343" xfId="1" applyNumberFormat="1" applyFont="1" applyFill="1" applyBorder="1" applyAlignment="1">
      <alignment horizontal="right"/>
    </xf>
    <xf numFmtId="1" fontId="7" fillId="0" borderId="344" xfId="4" applyNumberFormat="1" applyFont="1" applyBorder="1" applyAlignment="1">
      <alignment horizontal="center"/>
    </xf>
    <xf numFmtId="10" fontId="9" fillId="0" borderId="345" xfId="5" applyFont="1" applyBorder="1" applyAlignment="1">
      <alignment horizontal="center" vertical="center"/>
    </xf>
    <xf numFmtId="0" fontId="11" fillId="0" borderId="346" xfId="0" applyFont="1" applyBorder="1" applyAlignment="1">
      <alignment horizontal="center"/>
    </xf>
    <xf numFmtId="2" fontId="7" fillId="0" borderId="347" xfId="4" applyNumberFormat="1" applyFont="1" applyBorder="1" applyAlignment="1">
      <alignment horizontal="center"/>
    </xf>
    <xf numFmtId="0" fontId="11" fillId="4" borderId="346" xfId="0" applyFont="1" applyFill="1" applyBorder="1" applyAlignment="1">
      <alignment horizontal="center"/>
    </xf>
    <xf numFmtId="168" fontId="7" fillId="4" borderId="347" xfId="1" applyNumberFormat="1" applyFont="1" applyFill="1" applyBorder="1" applyAlignment="1">
      <alignment horizontal="center"/>
    </xf>
    <xf numFmtId="0" fontId="11" fillId="5" borderId="346" xfId="0" applyFont="1" applyFill="1" applyBorder="1" applyAlignment="1">
      <alignment horizontal="center"/>
    </xf>
    <xf numFmtId="169" fontId="7" fillId="5" borderId="347" xfId="4" applyNumberFormat="1" applyFont="1" applyFill="1" applyBorder="1" applyAlignment="1">
      <alignment horizontal="center"/>
    </xf>
    <xf numFmtId="0" fontId="12" fillId="0" borderId="346" xfId="0" applyFont="1" applyBorder="1" applyAlignment="1">
      <alignment horizontal="center"/>
    </xf>
    <xf numFmtId="169" fontId="13" fillId="0" borderId="347" xfId="4" applyNumberFormat="1" applyFont="1" applyBorder="1" applyAlignment="1">
      <alignment horizontal="center"/>
    </xf>
    <xf numFmtId="168" fontId="7" fillId="4" borderId="347" xfId="1" applyNumberFormat="1" applyFont="1" applyFill="1" applyBorder="1" applyAlignment="1">
      <alignment horizontal="right"/>
    </xf>
    <xf numFmtId="1" fontId="7" fillId="0" borderId="348" xfId="4" applyNumberFormat="1" applyFont="1" applyBorder="1" applyAlignment="1">
      <alignment horizontal="center"/>
    </xf>
    <xf numFmtId="10" fontId="9" fillId="0" borderId="349" xfId="5" applyFont="1" applyBorder="1" applyAlignment="1">
      <alignment horizontal="center" vertical="center"/>
    </xf>
    <xf numFmtId="0" fontId="11" fillId="0" borderId="350" xfId="0" applyFont="1" applyBorder="1" applyAlignment="1">
      <alignment horizontal="center"/>
    </xf>
    <xf numFmtId="2" fontId="7" fillId="0" borderId="351" xfId="4" applyNumberFormat="1" applyFont="1" applyBorder="1" applyAlignment="1">
      <alignment horizontal="center"/>
    </xf>
    <xf numFmtId="0" fontId="11" fillId="4" borderId="350" xfId="0" applyFont="1" applyFill="1" applyBorder="1" applyAlignment="1">
      <alignment horizontal="center"/>
    </xf>
    <xf numFmtId="168" fontId="7" fillId="4" borderId="351" xfId="1" applyNumberFormat="1" applyFont="1" applyFill="1" applyBorder="1" applyAlignment="1">
      <alignment horizontal="center"/>
    </xf>
    <xf numFmtId="0" fontId="11" fillId="5" borderId="350" xfId="0" applyFont="1" applyFill="1" applyBorder="1" applyAlignment="1">
      <alignment horizontal="center"/>
    </xf>
    <xf numFmtId="169" fontId="7" fillId="5" borderId="351" xfId="4" applyNumberFormat="1" applyFont="1" applyFill="1" applyBorder="1" applyAlignment="1">
      <alignment horizontal="center"/>
    </xf>
    <xf numFmtId="0" fontId="12" fillId="0" borderId="350" xfId="0" applyFont="1" applyBorder="1" applyAlignment="1">
      <alignment horizontal="center"/>
    </xf>
    <xf numFmtId="169" fontId="13" fillId="0" borderId="351" xfId="4" applyNumberFormat="1" applyFont="1" applyBorder="1" applyAlignment="1">
      <alignment horizontal="center"/>
    </xf>
    <xf numFmtId="168" fontId="7" fillId="4" borderId="351" xfId="1" applyNumberFormat="1" applyFont="1" applyFill="1" applyBorder="1" applyAlignment="1">
      <alignment horizontal="right"/>
    </xf>
    <xf numFmtId="1" fontId="7" fillId="0" borderId="352" xfId="4" applyNumberFormat="1" applyFont="1" applyBorder="1" applyAlignment="1">
      <alignment horizontal="center"/>
    </xf>
    <xf numFmtId="10" fontId="9" fillId="0" borderId="353" xfId="5" applyFont="1" applyBorder="1" applyAlignment="1">
      <alignment horizontal="center" vertical="center"/>
    </xf>
    <xf numFmtId="0" fontId="11" fillId="0" borderId="354" xfId="0" applyFont="1" applyBorder="1" applyAlignment="1">
      <alignment horizontal="center"/>
    </xf>
    <xf numFmtId="2" fontId="7" fillId="0" borderId="355" xfId="4" applyNumberFormat="1" applyFont="1" applyBorder="1" applyAlignment="1">
      <alignment horizontal="center"/>
    </xf>
    <xf numFmtId="0" fontId="11" fillId="4" borderId="354" xfId="0" applyFont="1" applyFill="1" applyBorder="1" applyAlignment="1">
      <alignment horizontal="center"/>
    </xf>
    <xf numFmtId="168" fontId="7" fillId="4" borderId="355" xfId="1" applyNumberFormat="1" applyFont="1" applyFill="1" applyBorder="1" applyAlignment="1">
      <alignment horizontal="center"/>
    </xf>
    <xf numFmtId="0" fontId="11" fillId="5" borderId="354" xfId="0" applyFont="1" applyFill="1" applyBorder="1" applyAlignment="1">
      <alignment horizontal="center"/>
    </xf>
    <xf numFmtId="169" fontId="7" fillId="5" borderId="355" xfId="4" applyNumberFormat="1" applyFont="1" applyFill="1" applyBorder="1" applyAlignment="1">
      <alignment horizontal="center"/>
    </xf>
    <xf numFmtId="0" fontId="12" fillId="0" borderId="354" xfId="0" applyFont="1" applyBorder="1" applyAlignment="1">
      <alignment horizontal="center"/>
    </xf>
    <xf numFmtId="169" fontId="13" fillId="0" borderId="355" xfId="4" applyNumberFormat="1" applyFont="1" applyBorder="1" applyAlignment="1">
      <alignment horizontal="center"/>
    </xf>
    <xf numFmtId="168" fontId="7" fillId="4" borderId="355" xfId="1" applyNumberFormat="1" applyFont="1" applyFill="1" applyBorder="1" applyAlignment="1">
      <alignment horizontal="right"/>
    </xf>
    <xf numFmtId="1" fontId="7" fillId="0" borderId="356" xfId="4" applyNumberFormat="1" applyFont="1" applyBorder="1" applyAlignment="1">
      <alignment horizontal="center"/>
    </xf>
    <xf numFmtId="10" fontId="9" fillId="0" borderId="357" xfId="5" applyFont="1" applyBorder="1" applyAlignment="1">
      <alignment horizontal="center" vertical="center"/>
    </xf>
    <xf numFmtId="0" fontId="11" fillId="0" borderId="358" xfId="0" applyFont="1" applyBorder="1" applyAlignment="1">
      <alignment horizontal="center"/>
    </xf>
    <xf numFmtId="2" fontId="7" fillId="0" borderId="359" xfId="4" applyNumberFormat="1" applyFont="1" applyBorder="1" applyAlignment="1">
      <alignment horizontal="center"/>
    </xf>
    <xf numFmtId="0" fontId="11" fillId="4" borderId="358" xfId="0" applyFont="1" applyFill="1" applyBorder="1" applyAlignment="1">
      <alignment horizontal="center"/>
    </xf>
    <xf numFmtId="168" fontId="7" fillId="4" borderId="359" xfId="1" applyNumberFormat="1" applyFont="1" applyFill="1" applyBorder="1" applyAlignment="1">
      <alignment horizontal="center"/>
    </xf>
    <xf numFmtId="0" fontId="11" fillId="5" borderId="358" xfId="0" applyFont="1" applyFill="1" applyBorder="1" applyAlignment="1">
      <alignment horizontal="center"/>
    </xf>
    <xf numFmtId="169" fontId="7" fillId="5" borderId="359" xfId="4" applyNumberFormat="1" applyFont="1" applyFill="1" applyBorder="1" applyAlignment="1">
      <alignment horizontal="center"/>
    </xf>
    <xf numFmtId="0" fontId="12" fillId="0" borderId="358" xfId="0" applyFont="1" applyBorder="1" applyAlignment="1">
      <alignment horizontal="center"/>
    </xf>
    <xf numFmtId="169" fontId="13" fillId="0" borderId="359" xfId="4" applyNumberFormat="1" applyFont="1" applyBorder="1" applyAlignment="1">
      <alignment horizontal="center"/>
    </xf>
    <xf numFmtId="168" fontId="7" fillId="4" borderId="359" xfId="1" applyNumberFormat="1" applyFont="1" applyFill="1" applyBorder="1" applyAlignment="1">
      <alignment horizontal="right"/>
    </xf>
    <xf numFmtId="1" fontId="7" fillId="0" borderId="360" xfId="4" applyNumberFormat="1" applyFont="1" applyBorder="1" applyAlignment="1">
      <alignment horizontal="center"/>
    </xf>
    <xf numFmtId="10" fontId="9" fillId="0" borderId="361" xfId="5" applyFont="1" applyBorder="1" applyAlignment="1">
      <alignment horizontal="center" vertical="center"/>
    </xf>
    <xf numFmtId="0" fontId="11" fillId="0" borderId="362" xfId="0" applyFont="1" applyBorder="1" applyAlignment="1">
      <alignment horizontal="center"/>
    </xf>
    <xf numFmtId="2" fontId="7" fillId="0" borderId="363" xfId="4" applyNumberFormat="1" applyFont="1" applyBorder="1" applyAlignment="1">
      <alignment horizontal="center"/>
    </xf>
    <xf numFmtId="0" fontId="11" fillId="4" borderId="362" xfId="0" applyFont="1" applyFill="1" applyBorder="1" applyAlignment="1">
      <alignment horizontal="center"/>
    </xf>
    <xf numFmtId="168" fontId="7" fillId="4" borderId="363" xfId="1" applyNumberFormat="1" applyFont="1" applyFill="1" applyBorder="1" applyAlignment="1">
      <alignment horizontal="center"/>
    </xf>
    <xf numFmtId="0" fontId="11" fillId="5" borderId="362" xfId="0" applyFont="1" applyFill="1" applyBorder="1" applyAlignment="1">
      <alignment horizontal="center"/>
    </xf>
    <xf numFmtId="169" fontId="7" fillId="5" borderId="363" xfId="4" applyNumberFormat="1" applyFont="1" applyFill="1" applyBorder="1" applyAlignment="1">
      <alignment horizontal="center"/>
    </xf>
    <xf numFmtId="0" fontId="12" fillId="0" borderId="362" xfId="0" applyFont="1" applyBorder="1" applyAlignment="1">
      <alignment horizontal="center"/>
    </xf>
    <xf numFmtId="169" fontId="13" fillId="0" borderId="363" xfId="4" applyNumberFormat="1" applyFont="1" applyBorder="1" applyAlignment="1">
      <alignment horizontal="center"/>
    </xf>
    <xf numFmtId="168" fontId="7" fillId="4" borderId="363" xfId="1" applyNumberFormat="1" applyFont="1" applyFill="1" applyBorder="1" applyAlignment="1">
      <alignment horizontal="right"/>
    </xf>
    <xf numFmtId="1" fontId="7" fillId="0" borderId="364" xfId="4" applyNumberFormat="1" applyFont="1" applyBorder="1" applyAlignment="1">
      <alignment horizontal="center"/>
    </xf>
    <xf numFmtId="10" fontId="9" fillId="0" borderId="365" xfId="5" applyFont="1" applyBorder="1" applyAlignment="1">
      <alignment horizontal="center" vertical="center"/>
    </xf>
    <xf numFmtId="0" fontId="11" fillId="0" borderId="366" xfId="0" applyFont="1" applyBorder="1" applyAlignment="1">
      <alignment horizontal="center"/>
    </xf>
    <xf numFmtId="2" fontId="7" fillId="0" borderId="367" xfId="4" applyNumberFormat="1" applyFont="1" applyBorder="1" applyAlignment="1">
      <alignment horizontal="center"/>
    </xf>
    <xf numFmtId="0" fontId="11" fillId="4" borderId="366" xfId="0" applyFont="1" applyFill="1" applyBorder="1" applyAlignment="1">
      <alignment horizontal="center"/>
    </xf>
    <xf numFmtId="168" fontId="7" fillId="4" borderId="367" xfId="1" applyNumberFormat="1" applyFont="1" applyFill="1" applyBorder="1" applyAlignment="1">
      <alignment horizontal="center"/>
    </xf>
    <xf numFmtId="0" fontId="11" fillId="5" borderId="366" xfId="0" applyFont="1" applyFill="1" applyBorder="1" applyAlignment="1">
      <alignment horizontal="center"/>
    </xf>
    <xf numFmtId="169" fontId="7" fillId="5" borderId="367" xfId="4" applyNumberFormat="1" applyFont="1" applyFill="1" applyBorder="1" applyAlignment="1">
      <alignment horizontal="center"/>
    </xf>
    <xf numFmtId="0" fontId="12" fillId="0" borderId="366" xfId="0" applyFont="1" applyBorder="1" applyAlignment="1">
      <alignment horizontal="center"/>
    </xf>
    <xf numFmtId="169" fontId="13" fillId="0" borderId="367" xfId="4" applyNumberFormat="1" applyFont="1" applyBorder="1" applyAlignment="1">
      <alignment horizontal="center"/>
    </xf>
    <xf numFmtId="168" fontId="7" fillId="4" borderId="367" xfId="1" applyNumberFormat="1" applyFont="1" applyFill="1" applyBorder="1" applyAlignment="1">
      <alignment horizontal="right"/>
    </xf>
    <xf numFmtId="1" fontId="7" fillId="0" borderId="368" xfId="4" applyNumberFormat="1" applyFont="1" applyBorder="1" applyAlignment="1">
      <alignment horizontal="center"/>
    </xf>
    <xf numFmtId="10" fontId="9" fillId="0" borderId="369" xfId="5" applyFont="1" applyBorder="1" applyAlignment="1">
      <alignment horizontal="center" vertical="center"/>
    </xf>
    <xf numFmtId="0" fontId="11" fillId="0" borderId="370" xfId="0" applyFont="1" applyBorder="1" applyAlignment="1">
      <alignment horizontal="center"/>
    </xf>
    <xf numFmtId="2" fontId="7" fillId="0" borderId="371" xfId="4" applyNumberFormat="1" applyFont="1" applyBorder="1" applyAlignment="1">
      <alignment horizontal="center"/>
    </xf>
    <xf numFmtId="0" fontId="11" fillId="4" borderId="370" xfId="0" applyFont="1" applyFill="1" applyBorder="1" applyAlignment="1">
      <alignment horizontal="center"/>
    </xf>
    <xf numFmtId="168" fontId="7" fillId="4" borderId="371" xfId="1" applyNumberFormat="1" applyFont="1" applyFill="1" applyBorder="1" applyAlignment="1">
      <alignment horizontal="center"/>
    </xf>
    <xf numFmtId="0" fontId="11" fillId="5" borderId="370" xfId="0" applyFont="1" applyFill="1" applyBorder="1" applyAlignment="1">
      <alignment horizontal="center"/>
    </xf>
    <xf numFmtId="169" fontId="7" fillId="5" borderId="371" xfId="4" applyNumberFormat="1" applyFont="1" applyFill="1" applyBorder="1" applyAlignment="1">
      <alignment horizontal="center"/>
    </xf>
    <xf numFmtId="0" fontId="12" fillId="0" borderId="370" xfId="0" applyFont="1" applyBorder="1" applyAlignment="1">
      <alignment horizontal="center"/>
    </xf>
    <xf numFmtId="169" fontId="13" fillId="0" borderId="371" xfId="4" applyNumberFormat="1" applyFont="1" applyBorder="1" applyAlignment="1">
      <alignment horizontal="center"/>
    </xf>
    <xf numFmtId="168" fontId="7" fillId="4" borderId="371" xfId="1" applyNumberFormat="1" applyFont="1" applyFill="1" applyBorder="1" applyAlignment="1">
      <alignment horizontal="right"/>
    </xf>
    <xf numFmtId="1" fontId="7" fillId="0" borderId="372" xfId="4" applyNumberFormat="1" applyFont="1" applyBorder="1" applyAlignment="1">
      <alignment horizontal="center"/>
    </xf>
    <xf numFmtId="10" fontId="9" fillId="0" borderId="373" xfId="5" applyFont="1" applyBorder="1" applyAlignment="1">
      <alignment horizontal="center" vertical="center"/>
    </xf>
    <xf numFmtId="0" fontId="11" fillId="0" borderId="374" xfId="0" applyFont="1" applyBorder="1" applyAlignment="1">
      <alignment horizontal="center"/>
    </xf>
    <xf numFmtId="2" fontId="7" fillId="0" borderId="375" xfId="4" applyNumberFormat="1" applyFont="1" applyBorder="1" applyAlignment="1">
      <alignment horizontal="center"/>
    </xf>
    <xf numFmtId="0" fontId="11" fillId="4" borderId="374" xfId="0" applyFont="1" applyFill="1" applyBorder="1" applyAlignment="1">
      <alignment horizontal="center"/>
    </xf>
    <xf numFmtId="168" fontId="7" fillId="4" borderId="375" xfId="1" applyNumberFormat="1" applyFont="1" applyFill="1" applyBorder="1" applyAlignment="1">
      <alignment horizontal="center"/>
    </xf>
    <xf numFmtId="0" fontId="11" fillId="5" borderId="374" xfId="0" applyFont="1" applyFill="1" applyBorder="1" applyAlignment="1">
      <alignment horizontal="center"/>
    </xf>
    <xf numFmtId="169" fontId="7" fillId="5" borderId="375" xfId="4" applyNumberFormat="1" applyFont="1" applyFill="1" applyBorder="1" applyAlignment="1">
      <alignment horizontal="center"/>
    </xf>
    <xf numFmtId="0" fontId="12" fillId="0" borderId="374" xfId="0" applyFont="1" applyBorder="1" applyAlignment="1">
      <alignment horizontal="center"/>
    </xf>
    <xf numFmtId="169" fontId="13" fillId="0" borderId="375" xfId="4" applyNumberFormat="1" applyFont="1" applyBorder="1" applyAlignment="1">
      <alignment horizontal="center"/>
    </xf>
    <xf numFmtId="168" fontId="7" fillId="4" borderId="375" xfId="1" applyNumberFormat="1" applyFont="1" applyFill="1" applyBorder="1" applyAlignment="1">
      <alignment horizontal="right"/>
    </xf>
    <xf numFmtId="1" fontId="7" fillId="0" borderId="376" xfId="4" applyNumberFormat="1" applyFont="1" applyBorder="1" applyAlignment="1">
      <alignment horizontal="center"/>
    </xf>
    <xf numFmtId="10" fontId="9" fillId="0" borderId="377" xfId="5" applyFont="1" applyBorder="1" applyAlignment="1">
      <alignment horizontal="center" vertical="center"/>
    </xf>
    <xf numFmtId="0" fontId="11" fillId="0" borderId="378" xfId="0" applyFont="1" applyBorder="1" applyAlignment="1">
      <alignment horizontal="center"/>
    </xf>
    <xf numFmtId="2" fontId="7" fillId="0" borderId="379" xfId="4" applyNumberFormat="1" applyFont="1" applyBorder="1" applyAlignment="1">
      <alignment horizontal="center"/>
    </xf>
    <xf numFmtId="0" fontId="11" fillId="4" borderId="378" xfId="0" applyFont="1" applyFill="1" applyBorder="1" applyAlignment="1">
      <alignment horizontal="center"/>
    </xf>
    <xf numFmtId="168" fontId="7" fillId="4" borderId="379" xfId="1" applyNumberFormat="1" applyFont="1" applyFill="1" applyBorder="1" applyAlignment="1">
      <alignment horizontal="center"/>
    </xf>
    <xf numFmtId="0" fontId="11" fillId="5" borderId="378" xfId="0" applyFont="1" applyFill="1" applyBorder="1" applyAlignment="1">
      <alignment horizontal="center"/>
    </xf>
    <xf numFmtId="169" fontId="7" fillId="5" borderId="379" xfId="4" applyNumberFormat="1" applyFont="1" applyFill="1" applyBorder="1" applyAlignment="1">
      <alignment horizontal="center"/>
    </xf>
    <xf numFmtId="0" fontId="12" fillId="0" borderId="378" xfId="0" applyFont="1" applyBorder="1" applyAlignment="1">
      <alignment horizontal="center"/>
    </xf>
    <xf numFmtId="169" fontId="13" fillId="0" borderId="379" xfId="4" applyNumberFormat="1" applyFont="1" applyBorder="1" applyAlignment="1">
      <alignment horizontal="center"/>
    </xf>
    <xf numFmtId="168" fontId="7" fillId="4" borderId="379" xfId="1" applyNumberFormat="1" applyFont="1" applyFill="1" applyBorder="1" applyAlignment="1">
      <alignment horizontal="right"/>
    </xf>
    <xf numFmtId="1" fontId="7" fillId="0" borderId="380" xfId="4" applyNumberFormat="1" applyFont="1" applyBorder="1" applyAlignment="1">
      <alignment horizontal="center"/>
    </xf>
    <xf numFmtId="10" fontId="9" fillId="0" borderId="381" xfId="5" applyFont="1" applyBorder="1" applyAlignment="1">
      <alignment horizontal="center" vertical="center"/>
    </xf>
    <xf numFmtId="0" fontId="11" fillId="0" borderId="382" xfId="0" applyFont="1" applyBorder="1" applyAlignment="1">
      <alignment horizontal="center"/>
    </xf>
    <xf numFmtId="2" fontId="7" fillId="0" borderId="383" xfId="4" applyNumberFormat="1" applyFont="1" applyBorder="1" applyAlignment="1">
      <alignment horizontal="center"/>
    </xf>
    <xf numFmtId="0" fontId="11" fillId="4" borderId="382" xfId="0" applyFont="1" applyFill="1" applyBorder="1" applyAlignment="1">
      <alignment horizontal="center"/>
    </xf>
    <xf numFmtId="168" fontId="7" fillId="4" borderId="383" xfId="1" applyNumberFormat="1" applyFont="1" applyFill="1" applyBorder="1" applyAlignment="1">
      <alignment horizontal="center"/>
    </xf>
    <xf numFmtId="0" fontId="11" fillId="5" borderId="382" xfId="0" applyFont="1" applyFill="1" applyBorder="1" applyAlignment="1">
      <alignment horizontal="center"/>
    </xf>
    <xf numFmtId="169" fontId="7" fillId="5" borderId="383" xfId="4" applyNumberFormat="1" applyFont="1" applyFill="1" applyBorder="1" applyAlignment="1">
      <alignment horizontal="center"/>
    </xf>
    <xf numFmtId="0" fontId="12" fillId="0" borderId="382" xfId="0" applyFont="1" applyBorder="1" applyAlignment="1">
      <alignment horizontal="center"/>
    </xf>
    <xf numFmtId="169" fontId="13" fillId="0" borderId="383" xfId="4" applyNumberFormat="1" applyFont="1" applyBorder="1" applyAlignment="1">
      <alignment horizontal="center"/>
    </xf>
    <xf numFmtId="168" fontId="7" fillId="4" borderId="383" xfId="1" applyNumberFormat="1" applyFont="1" applyFill="1" applyBorder="1" applyAlignment="1">
      <alignment horizontal="right"/>
    </xf>
    <xf numFmtId="1" fontId="7" fillId="0" borderId="384" xfId="4" applyNumberFormat="1" applyFont="1" applyBorder="1" applyAlignment="1">
      <alignment horizontal="center"/>
    </xf>
    <xf numFmtId="10" fontId="9" fillId="0" borderId="385" xfId="5" applyFont="1" applyBorder="1" applyAlignment="1">
      <alignment horizontal="center" vertical="center"/>
    </xf>
    <xf numFmtId="0" fontId="11" fillId="0" borderId="386" xfId="0" applyFont="1" applyBorder="1" applyAlignment="1">
      <alignment horizontal="center"/>
    </xf>
    <xf numFmtId="2" fontId="7" fillId="0" borderId="387" xfId="4" applyNumberFormat="1" applyFont="1" applyBorder="1" applyAlignment="1">
      <alignment horizontal="center"/>
    </xf>
    <xf numFmtId="0" fontId="11" fillId="4" borderId="386" xfId="0" applyFont="1" applyFill="1" applyBorder="1" applyAlignment="1">
      <alignment horizontal="center"/>
    </xf>
    <xf numFmtId="168" fontId="7" fillId="4" borderId="387" xfId="1" applyNumberFormat="1" applyFont="1" applyFill="1" applyBorder="1" applyAlignment="1">
      <alignment horizontal="center"/>
    </xf>
    <xf numFmtId="0" fontId="11" fillId="5" borderId="386" xfId="0" applyFont="1" applyFill="1" applyBorder="1" applyAlignment="1">
      <alignment horizontal="center"/>
    </xf>
    <xf numFmtId="169" fontId="7" fillId="5" borderId="387" xfId="4" applyNumberFormat="1" applyFont="1" applyFill="1" applyBorder="1" applyAlignment="1">
      <alignment horizontal="center"/>
    </xf>
    <xf numFmtId="0" fontId="12" fillId="0" borderId="386" xfId="0" applyFont="1" applyBorder="1" applyAlignment="1">
      <alignment horizontal="center"/>
    </xf>
    <xf numFmtId="169" fontId="13" fillId="0" borderId="387" xfId="4" applyNumberFormat="1" applyFont="1" applyBorder="1" applyAlignment="1">
      <alignment horizontal="center"/>
    </xf>
    <xf numFmtId="168" fontId="7" fillId="4" borderId="387" xfId="1" applyNumberFormat="1" applyFont="1" applyFill="1" applyBorder="1" applyAlignment="1">
      <alignment horizontal="right"/>
    </xf>
    <xf numFmtId="1" fontId="7" fillId="0" borderId="388" xfId="4" applyNumberFormat="1" applyFont="1" applyBorder="1" applyAlignment="1">
      <alignment horizontal="center"/>
    </xf>
    <xf numFmtId="10" fontId="9" fillId="0" borderId="389" xfId="5" applyFont="1" applyBorder="1" applyAlignment="1">
      <alignment horizontal="center" vertical="center"/>
    </xf>
    <xf numFmtId="0" fontId="11" fillId="0" borderId="390" xfId="0" applyFont="1" applyBorder="1" applyAlignment="1">
      <alignment horizontal="center"/>
    </xf>
    <xf numFmtId="2" fontId="7" fillId="0" borderId="391" xfId="4" applyNumberFormat="1" applyFont="1" applyBorder="1" applyAlignment="1">
      <alignment horizontal="center"/>
    </xf>
    <xf numFmtId="0" fontId="11" fillId="4" borderId="390" xfId="0" applyFont="1" applyFill="1" applyBorder="1" applyAlignment="1">
      <alignment horizontal="center"/>
    </xf>
    <xf numFmtId="168" fontId="7" fillId="4" borderId="391" xfId="1" applyNumberFormat="1" applyFont="1" applyFill="1" applyBorder="1" applyAlignment="1">
      <alignment horizontal="center"/>
    </xf>
    <xf numFmtId="0" fontId="11" fillId="5" borderId="390" xfId="0" applyFont="1" applyFill="1" applyBorder="1" applyAlignment="1">
      <alignment horizontal="center"/>
    </xf>
    <xf numFmtId="169" fontId="7" fillId="5" borderId="391" xfId="4" applyNumberFormat="1" applyFont="1" applyFill="1" applyBorder="1" applyAlignment="1">
      <alignment horizontal="center"/>
    </xf>
    <xf numFmtId="0" fontId="12" fillId="0" borderId="390" xfId="0" applyFont="1" applyBorder="1" applyAlignment="1">
      <alignment horizontal="center"/>
    </xf>
    <xf numFmtId="169" fontId="13" fillId="0" borderId="391" xfId="4" applyNumberFormat="1" applyFont="1" applyBorder="1" applyAlignment="1">
      <alignment horizontal="center"/>
    </xf>
    <xf numFmtId="168" fontId="7" fillId="4" borderId="391" xfId="1" applyNumberFormat="1" applyFont="1" applyFill="1" applyBorder="1" applyAlignment="1">
      <alignment horizontal="right"/>
    </xf>
    <xf numFmtId="1" fontId="7" fillId="0" borderId="392" xfId="4" applyNumberFormat="1" applyFont="1" applyBorder="1" applyAlignment="1">
      <alignment horizontal="center"/>
    </xf>
    <xf numFmtId="10" fontId="9" fillId="0" borderId="393" xfId="5" applyFont="1" applyBorder="1" applyAlignment="1">
      <alignment horizontal="center" vertical="center"/>
    </xf>
    <xf numFmtId="0" fontId="11" fillId="0" borderId="394" xfId="0" applyFont="1" applyBorder="1" applyAlignment="1">
      <alignment horizontal="center"/>
    </xf>
    <xf numFmtId="2" fontId="7" fillId="0" borderId="395" xfId="4" applyNumberFormat="1" applyFont="1" applyBorder="1" applyAlignment="1">
      <alignment horizontal="center"/>
    </xf>
    <xf numFmtId="0" fontId="11" fillId="4" borderId="394" xfId="0" applyFont="1" applyFill="1" applyBorder="1" applyAlignment="1">
      <alignment horizontal="center"/>
    </xf>
    <xf numFmtId="168" fontId="7" fillId="4" borderId="395" xfId="1" applyNumberFormat="1" applyFont="1" applyFill="1" applyBorder="1" applyAlignment="1">
      <alignment horizontal="center"/>
    </xf>
    <xf numFmtId="0" fontId="11" fillId="5" borderId="394" xfId="0" applyFont="1" applyFill="1" applyBorder="1" applyAlignment="1">
      <alignment horizontal="center"/>
    </xf>
    <xf numFmtId="169" fontId="7" fillId="5" borderId="395" xfId="4" applyNumberFormat="1" applyFont="1" applyFill="1" applyBorder="1" applyAlignment="1">
      <alignment horizontal="center"/>
    </xf>
    <xf numFmtId="0" fontId="12" fillId="0" borderId="394" xfId="0" applyFont="1" applyBorder="1" applyAlignment="1">
      <alignment horizontal="center"/>
    </xf>
    <xf numFmtId="169" fontId="13" fillId="0" borderId="395" xfId="4" applyNumberFormat="1" applyFont="1" applyBorder="1" applyAlignment="1">
      <alignment horizontal="center"/>
    </xf>
    <xf numFmtId="168" fontId="7" fillId="4" borderId="395" xfId="1" applyNumberFormat="1" applyFont="1" applyFill="1" applyBorder="1" applyAlignment="1">
      <alignment horizontal="right"/>
    </xf>
    <xf numFmtId="1" fontId="7" fillId="0" borderId="396" xfId="4" applyNumberFormat="1" applyFont="1" applyBorder="1" applyAlignment="1">
      <alignment horizontal="center"/>
    </xf>
    <xf numFmtId="10" fontId="9" fillId="0" borderId="397" xfId="5" applyFont="1" applyBorder="1" applyAlignment="1">
      <alignment horizontal="center" vertical="center"/>
    </xf>
    <xf numFmtId="0" fontId="11" fillId="0" borderId="398" xfId="0" applyFont="1" applyBorder="1" applyAlignment="1">
      <alignment horizontal="center"/>
    </xf>
    <xf numFmtId="2" fontId="7" fillId="0" borderId="399" xfId="4" applyNumberFormat="1" applyFont="1" applyBorder="1" applyAlignment="1">
      <alignment horizontal="center"/>
    </xf>
    <xf numFmtId="0" fontId="11" fillId="4" borderId="398" xfId="0" applyFont="1" applyFill="1" applyBorder="1" applyAlignment="1">
      <alignment horizontal="center"/>
    </xf>
    <xf numFmtId="168" fontId="7" fillId="4" borderId="399" xfId="1" applyNumberFormat="1" applyFont="1" applyFill="1" applyBorder="1" applyAlignment="1">
      <alignment horizontal="center"/>
    </xf>
    <xf numFmtId="0" fontId="11" fillId="5" borderId="398" xfId="0" applyFont="1" applyFill="1" applyBorder="1" applyAlignment="1">
      <alignment horizontal="center"/>
    </xf>
    <xf numFmtId="169" fontId="7" fillId="5" borderId="399" xfId="4" applyNumberFormat="1" applyFont="1" applyFill="1" applyBorder="1" applyAlignment="1">
      <alignment horizontal="center"/>
    </xf>
    <xf numFmtId="0" fontId="12" fillId="0" borderId="398" xfId="0" applyFont="1" applyBorder="1" applyAlignment="1">
      <alignment horizontal="center"/>
    </xf>
    <xf numFmtId="169" fontId="13" fillId="0" borderId="399" xfId="4" applyNumberFormat="1" applyFont="1" applyBorder="1" applyAlignment="1">
      <alignment horizontal="center"/>
    </xf>
    <xf numFmtId="168" fontId="7" fillId="4" borderId="399" xfId="1" applyNumberFormat="1" applyFont="1" applyFill="1" applyBorder="1" applyAlignment="1">
      <alignment horizontal="right"/>
    </xf>
    <xf numFmtId="1" fontId="7" fillId="0" borderId="400" xfId="4" applyNumberFormat="1" applyFont="1" applyBorder="1" applyAlignment="1">
      <alignment horizontal="center"/>
    </xf>
    <xf numFmtId="4" fontId="7" fillId="7" borderId="10" xfId="4" applyNumberFormat="1" applyFont="1" applyFill="1" applyBorder="1" applyAlignment="1">
      <alignment horizontal="left"/>
    </xf>
    <xf numFmtId="10" fontId="9" fillId="0" borderId="401" xfId="5" applyFont="1" applyBorder="1" applyAlignment="1">
      <alignment horizontal="center" vertical="center"/>
    </xf>
    <xf numFmtId="0" fontId="11" fillId="0" borderId="402" xfId="0" applyFont="1" applyBorder="1" applyAlignment="1">
      <alignment horizontal="center"/>
    </xf>
    <xf numFmtId="2" fontId="7" fillId="0" borderId="403" xfId="4" applyNumberFormat="1" applyFont="1" applyBorder="1" applyAlignment="1">
      <alignment horizontal="center"/>
    </xf>
    <xf numFmtId="0" fontId="11" fillId="4" borderId="402" xfId="0" applyFont="1" applyFill="1" applyBorder="1" applyAlignment="1">
      <alignment horizontal="center"/>
    </xf>
    <xf numFmtId="168" fontId="7" fillId="4" borderId="403" xfId="1" applyNumberFormat="1" applyFont="1" applyFill="1" applyBorder="1" applyAlignment="1">
      <alignment horizontal="center"/>
    </xf>
    <xf numFmtId="0" fontId="11" fillId="5" borderId="402" xfId="0" applyFont="1" applyFill="1" applyBorder="1" applyAlignment="1">
      <alignment horizontal="center"/>
    </xf>
    <xf numFmtId="169" fontId="7" fillId="5" borderId="403" xfId="4" applyNumberFormat="1" applyFont="1" applyFill="1" applyBorder="1" applyAlignment="1">
      <alignment horizontal="center"/>
    </xf>
    <xf numFmtId="0" fontId="12" fillId="0" borderId="402" xfId="0" applyFont="1" applyBorder="1" applyAlignment="1">
      <alignment horizontal="center"/>
    </xf>
    <xf numFmtId="169" fontId="13" fillId="0" borderId="403" xfId="4" applyNumberFormat="1" applyFont="1" applyBorder="1" applyAlignment="1">
      <alignment horizontal="center"/>
    </xf>
    <xf numFmtId="168" fontId="7" fillId="4" borderId="403" xfId="1" applyNumberFormat="1" applyFont="1" applyFill="1" applyBorder="1" applyAlignment="1">
      <alignment horizontal="right"/>
    </xf>
    <xf numFmtId="1" fontId="7" fillId="0" borderId="404" xfId="4" applyNumberFormat="1" applyFont="1" applyBorder="1" applyAlignment="1">
      <alignment horizontal="center"/>
    </xf>
    <xf numFmtId="10" fontId="9" fillId="0" borderId="405" xfId="5" applyFont="1" applyBorder="1" applyAlignment="1">
      <alignment horizontal="center" vertical="center"/>
    </xf>
    <xf numFmtId="0" fontId="11" fillId="0" borderId="406" xfId="0" applyFont="1" applyBorder="1" applyAlignment="1">
      <alignment horizontal="center"/>
    </xf>
    <xf numFmtId="2" fontId="7" fillId="0" borderId="407" xfId="4" applyNumberFormat="1" applyFont="1" applyBorder="1" applyAlignment="1">
      <alignment horizontal="center"/>
    </xf>
    <xf numFmtId="0" fontId="11" fillId="4" borderId="406" xfId="0" applyFont="1" applyFill="1" applyBorder="1" applyAlignment="1">
      <alignment horizontal="center"/>
    </xf>
    <xf numFmtId="168" fontId="7" fillId="4" borderId="407" xfId="1" applyNumberFormat="1" applyFont="1" applyFill="1" applyBorder="1" applyAlignment="1">
      <alignment horizontal="center"/>
    </xf>
    <xf numFmtId="0" fontId="11" fillId="5" borderId="406" xfId="0" applyFont="1" applyFill="1" applyBorder="1" applyAlignment="1">
      <alignment horizontal="center"/>
    </xf>
    <xf numFmtId="169" fontId="7" fillId="5" borderId="407" xfId="4" applyNumberFormat="1" applyFont="1" applyFill="1" applyBorder="1" applyAlignment="1">
      <alignment horizontal="center"/>
    </xf>
    <xf numFmtId="0" fontId="12" fillId="0" borderId="406" xfId="0" applyFont="1" applyBorder="1" applyAlignment="1">
      <alignment horizontal="center"/>
    </xf>
    <xf numFmtId="169" fontId="13" fillId="0" borderId="407" xfId="4" applyNumberFormat="1" applyFont="1" applyBorder="1" applyAlignment="1">
      <alignment horizontal="center"/>
    </xf>
    <xf numFmtId="168" fontId="7" fillId="4" borderId="407" xfId="1" applyNumberFormat="1" applyFont="1" applyFill="1" applyBorder="1" applyAlignment="1">
      <alignment horizontal="right"/>
    </xf>
    <xf numFmtId="1" fontId="7" fillId="0" borderId="408" xfId="4" applyNumberFormat="1" applyFont="1" applyBorder="1" applyAlignment="1">
      <alignment horizontal="center"/>
    </xf>
    <xf numFmtId="10" fontId="9" fillId="0" borderId="409" xfId="5" applyFont="1" applyBorder="1" applyAlignment="1">
      <alignment horizontal="center" vertical="center"/>
    </xf>
    <xf numFmtId="0" fontId="11" fillId="0" borderId="410" xfId="0" applyFont="1" applyBorder="1" applyAlignment="1">
      <alignment horizontal="center"/>
    </xf>
    <xf numFmtId="2" fontId="7" fillId="0" borderId="411" xfId="4" applyNumberFormat="1" applyFont="1" applyBorder="1" applyAlignment="1">
      <alignment horizontal="center"/>
    </xf>
    <xf numFmtId="0" fontId="11" fillId="4" borderId="410" xfId="0" applyFont="1" applyFill="1" applyBorder="1" applyAlignment="1">
      <alignment horizontal="center"/>
    </xf>
    <xf numFmtId="168" fontId="7" fillId="4" borderId="411" xfId="1" applyNumberFormat="1" applyFont="1" applyFill="1" applyBorder="1" applyAlignment="1">
      <alignment horizontal="center"/>
    </xf>
    <xf numFmtId="0" fontId="11" fillId="5" borderId="410" xfId="0" applyFont="1" applyFill="1" applyBorder="1" applyAlignment="1">
      <alignment horizontal="center"/>
    </xf>
    <xf numFmtId="169" fontId="7" fillId="5" borderId="411" xfId="4" applyNumberFormat="1" applyFont="1" applyFill="1" applyBorder="1" applyAlignment="1">
      <alignment horizontal="center"/>
    </xf>
    <xf numFmtId="0" fontId="12" fillId="0" borderId="410" xfId="0" applyFont="1" applyBorder="1" applyAlignment="1">
      <alignment horizontal="center"/>
    </xf>
    <xf numFmtId="169" fontId="13" fillId="0" borderId="411" xfId="4" applyNumberFormat="1" applyFont="1" applyBorder="1" applyAlignment="1">
      <alignment horizontal="center"/>
    </xf>
    <xf numFmtId="168" fontId="7" fillId="4" borderId="411" xfId="1" applyNumberFormat="1" applyFont="1" applyFill="1" applyBorder="1" applyAlignment="1">
      <alignment horizontal="right"/>
    </xf>
    <xf numFmtId="1" fontId="7" fillId="0" borderId="412" xfId="4" applyNumberFormat="1" applyFont="1" applyBorder="1" applyAlignment="1">
      <alignment horizontal="center"/>
    </xf>
    <xf numFmtId="10" fontId="9" fillId="0" borderId="413" xfId="5" applyFont="1" applyBorder="1" applyAlignment="1">
      <alignment horizontal="center" vertical="center"/>
    </xf>
    <xf numFmtId="0" fontId="11" fillId="0" borderId="414" xfId="0" applyFont="1" applyBorder="1" applyAlignment="1">
      <alignment horizontal="center"/>
    </xf>
    <xf numFmtId="2" fontId="7" fillId="0" borderId="415" xfId="4" applyNumberFormat="1" applyFont="1" applyBorder="1" applyAlignment="1">
      <alignment horizontal="center"/>
    </xf>
    <xf numFmtId="0" fontId="11" fillId="4" borderId="414" xfId="0" applyFont="1" applyFill="1" applyBorder="1" applyAlignment="1">
      <alignment horizontal="center"/>
    </xf>
    <xf numFmtId="168" fontId="7" fillId="4" borderId="415" xfId="1" applyNumberFormat="1" applyFont="1" applyFill="1" applyBorder="1" applyAlignment="1">
      <alignment horizontal="center"/>
    </xf>
    <xf numFmtId="0" fontId="11" fillId="5" borderId="414" xfId="0" applyFont="1" applyFill="1" applyBorder="1" applyAlignment="1">
      <alignment horizontal="center"/>
    </xf>
    <xf numFmtId="169" fontId="7" fillId="5" borderId="415" xfId="4" applyNumberFormat="1" applyFont="1" applyFill="1" applyBorder="1" applyAlignment="1">
      <alignment horizontal="center"/>
    </xf>
    <xf numFmtId="0" fontId="12" fillId="0" borderId="414" xfId="0" applyFont="1" applyBorder="1" applyAlignment="1">
      <alignment horizontal="center"/>
    </xf>
    <xf numFmtId="169" fontId="13" fillId="0" borderId="415" xfId="4" applyNumberFormat="1" applyFont="1" applyBorder="1" applyAlignment="1">
      <alignment horizontal="center"/>
    </xf>
    <xf numFmtId="168" fontId="7" fillId="4" borderId="415" xfId="1" applyNumberFormat="1" applyFont="1" applyFill="1" applyBorder="1" applyAlignment="1">
      <alignment horizontal="right"/>
    </xf>
    <xf numFmtId="1" fontId="7" fillId="0" borderId="416" xfId="4" applyNumberFormat="1" applyFont="1" applyBorder="1" applyAlignment="1">
      <alignment horizontal="center"/>
    </xf>
    <xf numFmtId="10" fontId="9" fillId="0" borderId="417" xfId="5" applyFont="1" applyBorder="1" applyAlignment="1">
      <alignment horizontal="center" vertical="center"/>
    </xf>
    <xf numFmtId="0" fontId="11" fillId="0" borderId="418" xfId="0" applyFont="1" applyBorder="1" applyAlignment="1">
      <alignment horizontal="center"/>
    </xf>
    <xf numFmtId="2" fontId="7" fillId="0" borderId="419" xfId="4" applyNumberFormat="1" applyFont="1" applyBorder="1" applyAlignment="1">
      <alignment horizontal="center"/>
    </xf>
    <xf numFmtId="0" fontId="11" fillId="4" borderId="418" xfId="0" applyFont="1" applyFill="1" applyBorder="1" applyAlignment="1">
      <alignment horizontal="center"/>
    </xf>
    <xf numFmtId="168" fontId="7" fillId="4" borderId="419" xfId="1" applyNumberFormat="1" applyFont="1" applyFill="1" applyBorder="1" applyAlignment="1">
      <alignment horizontal="center"/>
    </xf>
    <xf numFmtId="0" fontId="11" fillId="5" borderId="418" xfId="0" applyFont="1" applyFill="1" applyBorder="1" applyAlignment="1">
      <alignment horizontal="center"/>
    </xf>
    <xf numFmtId="169" fontId="7" fillId="5" borderId="419" xfId="4" applyNumberFormat="1" applyFont="1" applyFill="1" applyBorder="1" applyAlignment="1">
      <alignment horizontal="center"/>
    </xf>
    <xf numFmtId="0" fontId="12" fillId="0" borderId="418" xfId="0" applyFont="1" applyBorder="1" applyAlignment="1">
      <alignment horizontal="center"/>
    </xf>
    <xf numFmtId="169" fontId="13" fillId="0" borderId="419" xfId="4" applyNumberFormat="1" applyFont="1" applyBorder="1" applyAlignment="1">
      <alignment horizontal="center"/>
    </xf>
    <xf numFmtId="168" fontId="7" fillId="4" borderId="419" xfId="1" applyNumberFormat="1" applyFont="1" applyFill="1" applyBorder="1" applyAlignment="1">
      <alignment horizontal="right"/>
    </xf>
    <xf numFmtId="1" fontId="7" fillId="0" borderId="420" xfId="4" applyNumberFormat="1" applyFont="1" applyBorder="1" applyAlignment="1">
      <alignment horizontal="center"/>
    </xf>
    <xf numFmtId="10" fontId="9" fillId="0" borderId="421" xfId="5" applyFont="1" applyBorder="1" applyAlignment="1">
      <alignment horizontal="center" vertical="center"/>
    </xf>
    <xf numFmtId="0" fontId="11" fillId="0" borderId="422" xfId="0" applyFont="1" applyBorder="1" applyAlignment="1">
      <alignment horizontal="center"/>
    </xf>
    <xf numFmtId="2" fontId="7" fillId="0" borderId="423" xfId="4" applyNumberFormat="1" applyFont="1" applyBorder="1" applyAlignment="1">
      <alignment horizontal="center"/>
    </xf>
    <xf numFmtId="0" fontId="11" fillId="4" borderId="422" xfId="0" applyFont="1" applyFill="1" applyBorder="1" applyAlignment="1">
      <alignment horizontal="center"/>
    </xf>
    <xf numFmtId="168" fontId="7" fillId="4" borderId="423" xfId="1" applyNumberFormat="1" applyFont="1" applyFill="1" applyBorder="1" applyAlignment="1">
      <alignment horizontal="center"/>
    </xf>
    <xf numFmtId="0" fontId="11" fillId="5" borderId="422" xfId="0" applyFont="1" applyFill="1" applyBorder="1" applyAlignment="1">
      <alignment horizontal="center"/>
    </xf>
    <xf numFmtId="169" fontId="7" fillId="5" borderId="423" xfId="4" applyNumberFormat="1" applyFont="1" applyFill="1" applyBorder="1" applyAlignment="1">
      <alignment horizontal="center"/>
    </xf>
    <xf numFmtId="0" fontId="12" fillId="0" borderId="422" xfId="0" applyFont="1" applyBorder="1" applyAlignment="1">
      <alignment horizontal="center"/>
    </xf>
    <xf numFmtId="169" fontId="13" fillId="0" borderId="423" xfId="4" applyNumberFormat="1" applyFont="1" applyBorder="1" applyAlignment="1">
      <alignment horizontal="center"/>
    </xf>
    <xf numFmtId="168" fontId="7" fillId="4" borderId="423" xfId="1" applyNumberFormat="1" applyFont="1" applyFill="1" applyBorder="1" applyAlignment="1">
      <alignment horizontal="right"/>
    </xf>
    <xf numFmtId="1" fontId="7" fillId="0" borderId="424" xfId="4" applyNumberFormat="1" applyFont="1" applyBorder="1" applyAlignment="1">
      <alignment horizontal="center"/>
    </xf>
    <xf numFmtId="10" fontId="9" fillId="0" borderId="425" xfId="5" applyFont="1" applyBorder="1" applyAlignment="1">
      <alignment horizontal="center" vertical="center"/>
    </xf>
    <xf numFmtId="0" fontId="11" fillId="0" borderId="426" xfId="0" applyFont="1" applyBorder="1" applyAlignment="1">
      <alignment horizontal="center"/>
    </xf>
    <xf numFmtId="2" fontId="7" fillId="0" borderId="427" xfId="4" applyNumberFormat="1" applyFont="1" applyBorder="1" applyAlignment="1">
      <alignment horizontal="center"/>
    </xf>
    <xf numFmtId="0" fontId="11" fillId="4" borderId="426" xfId="0" applyFont="1" applyFill="1" applyBorder="1" applyAlignment="1">
      <alignment horizontal="center"/>
    </xf>
    <xf numFmtId="168" fontId="7" fillId="4" borderId="427" xfId="1" applyNumberFormat="1" applyFont="1" applyFill="1" applyBorder="1" applyAlignment="1">
      <alignment horizontal="center"/>
    </xf>
    <xf numFmtId="0" fontId="11" fillId="5" borderId="426" xfId="0" applyFont="1" applyFill="1" applyBorder="1" applyAlignment="1">
      <alignment horizontal="center"/>
    </xf>
    <xf numFmtId="169" fontId="7" fillId="5" borderId="427" xfId="4" applyNumberFormat="1" applyFont="1" applyFill="1" applyBorder="1" applyAlignment="1">
      <alignment horizontal="center"/>
    </xf>
    <xf numFmtId="0" fontId="12" fillId="0" borderId="426" xfId="0" applyFont="1" applyBorder="1" applyAlignment="1">
      <alignment horizontal="center"/>
    </xf>
    <xf numFmtId="169" fontId="13" fillId="0" borderId="427" xfId="4" applyNumberFormat="1" applyFont="1" applyBorder="1" applyAlignment="1">
      <alignment horizontal="center"/>
    </xf>
    <xf numFmtId="168" fontId="7" fillId="4" borderId="427" xfId="1" applyNumberFormat="1" applyFont="1" applyFill="1" applyBorder="1" applyAlignment="1">
      <alignment horizontal="right"/>
    </xf>
    <xf numFmtId="1" fontId="7" fillId="0" borderId="428" xfId="4" applyNumberFormat="1" applyFont="1" applyBorder="1" applyAlignment="1">
      <alignment horizontal="center"/>
    </xf>
    <xf numFmtId="10" fontId="9" fillId="0" borderId="429" xfId="5" applyFont="1" applyBorder="1" applyAlignment="1">
      <alignment horizontal="center" vertical="center"/>
    </xf>
    <xf numFmtId="0" fontId="11" fillId="0" borderId="430" xfId="0" applyFont="1" applyBorder="1" applyAlignment="1">
      <alignment horizontal="center"/>
    </xf>
    <xf numFmtId="2" fontId="7" fillId="0" borderId="431" xfId="4" applyNumberFormat="1" applyFont="1" applyBorder="1" applyAlignment="1">
      <alignment horizontal="center"/>
    </xf>
    <xf numFmtId="0" fontId="11" fillId="4" borderId="430" xfId="0" applyFont="1" applyFill="1" applyBorder="1" applyAlignment="1">
      <alignment horizontal="center"/>
    </xf>
    <xf numFmtId="168" fontId="7" fillId="4" borderId="431" xfId="1" applyNumberFormat="1" applyFont="1" applyFill="1" applyBorder="1" applyAlignment="1">
      <alignment horizontal="center"/>
    </xf>
    <xf numFmtId="0" fontId="11" fillId="5" borderId="430" xfId="0" applyFont="1" applyFill="1" applyBorder="1" applyAlignment="1">
      <alignment horizontal="center"/>
    </xf>
    <xf numFmtId="169" fontId="7" fillId="5" borderId="431" xfId="4" applyNumberFormat="1" applyFont="1" applyFill="1" applyBorder="1" applyAlignment="1">
      <alignment horizontal="center"/>
    </xf>
    <xf numFmtId="0" fontId="12" fillId="0" borderId="430" xfId="0" applyFont="1" applyBorder="1" applyAlignment="1">
      <alignment horizontal="center"/>
    </xf>
    <xf numFmtId="169" fontId="13" fillId="0" borderId="431" xfId="4" applyNumberFormat="1" applyFont="1" applyBorder="1" applyAlignment="1">
      <alignment horizontal="center"/>
    </xf>
    <xf numFmtId="168" fontId="7" fillId="4" borderId="431" xfId="1" applyNumberFormat="1" applyFont="1" applyFill="1" applyBorder="1" applyAlignment="1">
      <alignment horizontal="right"/>
    </xf>
    <xf numFmtId="1" fontId="7" fillId="0" borderId="432" xfId="4" applyNumberFormat="1" applyFont="1" applyBorder="1" applyAlignment="1">
      <alignment horizontal="center"/>
    </xf>
    <xf numFmtId="10" fontId="9" fillId="0" borderId="433" xfId="5" applyFont="1" applyBorder="1" applyAlignment="1">
      <alignment horizontal="center" vertical="center"/>
    </xf>
    <xf numFmtId="0" fontId="11" fillId="0" borderId="434" xfId="0" applyFont="1" applyBorder="1" applyAlignment="1">
      <alignment horizontal="center"/>
    </xf>
    <xf numFmtId="2" fontId="7" fillId="0" borderId="435" xfId="4" applyNumberFormat="1" applyFont="1" applyBorder="1" applyAlignment="1">
      <alignment horizontal="center"/>
    </xf>
    <xf numFmtId="0" fontId="11" fillId="4" borderId="434" xfId="0" applyFont="1" applyFill="1" applyBorder="1" applyAlignment="1">
      <alignment horizontal="center"/>
    </xf>
    <xf numFmtId="168" fontId="7" fillId="4" borderId="435" xfId="1" applyNumberFormat="1" applyFont="1" applyFill="1" applyBorder="1" applyAlignment="1">
      <alignment horizontal="center"/>
    </xf>
    <xf numFmtId="0" fontId="11" fillId="5" borderId="434" xfId="0" applyFont="1" applyFill="1" applyBorder="1" applyAlignment="1">
      <alignment horizontal="center"/>
    </xf>
    <xf numFmtId="169" fontId="7" fillId="5" borderId="435" xfId="4" applyNumberFormat="1" applyFont="1" applyFill="1" applyBorder="1" applyAlignment="1">
      <alignment horizontal="center"/>
    </xf>
    <xf numFmtId="0" fontId="12" fillId="0" borderId="434" xfId="0" applyFont="1" applyBorder="1" applyAlignment="1">
      <alignment horizontal="center"/>
    </xf>
    <xf numFmtId="169" fontId="13" fillId="0" borderId="435" xfId="4" applyNumberFormat="1" applyFont="1" applyBorder="1" applyAlignment="1">
      <alignment horizontal="center"/>
    </xf>
    <xf numFmtId="168" fontId="7" fillId="4" borderId="435" xfId="1" applyNumberFormat="1" applyFont="1" applyFill="1" applyBorder="1" applyAlignment="1">
      <alignment horizontal="right"/>
    </xf>
    <xf numFmtId="1" fontId="7" fillId="0" borderId="436" xfId="4" applyNumberFormat="1" applyFont="1" applyBorder="1" applyAlignment="1">
      <alignment horizontal="center"/>
    </xf>
    <xf numFmtId="10" fontId="9" fillId="0" borderId="437" xfId="5" applyFont="1" applyBorder="1" applyAlignment="1">
      <alignment horizontal="center" vertical="center"/>
    </xf>
    <xf numFmtId="0" fontId="11" fillId="0" borderId="438" xfId="0" applyFont="1" applyBorder="1" applyAlignment="1">
      <alignment horizontal="center"/>
    </xf>
    <xf numFmtId="2" fontId="7" fillId="0" borderId="439" xfId="4" applyNumberFormat="1" applyFont="1" applyBorder="1" applyAlignment="1">
      <alignment horizontal="center"/>
    </xf>
    <xf numFmtId="0" fontId="11" fillId="4" borderId="438" xfId="0" applyFont="1" applyFill="1" applyBorder="1" applyAlignment="1">
      <alignment horizontal="center"/>
    </xf>
    <xf numFmtId="168" fontId="7" fillId="4" borderId="439" xfId="1" applyNumberFormat="1" applyFont="1" applyFill="1" applyBorder="1" applyAlignment="1">
      <alignment horizontal="center"/>
    </xf>
    <xf numFmtId="0" fontId="11" fillId="5" borderId="438" xfId="0" applyFont="1" applyFill="1" applyBorder="1" applyAlignment="1">
      <alignment horizontal="center"/>
    </xf>
    <xf numFmtId="169" fontId="7" fillId="5" borderId="439" xfId="4" applyNumberFormat="1" applyFont="1" applyFill="1" applyBorder="1" applyAlignment="1">
      <alignment horizontal="center"/>
    </xf>
    <xf numFmtId="0" fontId="12" fillId="0" borderId="438" xfId="0" applyFont="1" applyBorder="1" applyAlignment="1">
      <alignment horizontal="center"/>
    </xf>
    <xf numFmtId="169" fontId="13" fillId="0" borderId="439" xfId="4" applyNumberFormat="1" applyFont="1" applyBorder="1" applyAlignment="1">
      <alignment horizontal="center"/>
    </xf>
    <xf numFmtId="168" fontId="7" fillId="4" borderId="439" xfId="1" applyNumberFormat="1" applyFont="1" applyFill="1" applyBorder="1" applyAlignment="1">
      <alignment horizontal="right"/>
    </xf>
    <xf numFmtId="1" fontId="7" fillId="0" borderId="440" xfId="4" applyNumberFormat="1" applyFont="1" applyBorder="1" applyAlignment="1">
      <alignment horizontal="center"/>
    </xf>
    <xf numFmtId="10" fontId="9" fillId="0" borderId="441" xfId="5" applyFont="1" applyBorder="1" applyAlignment="1">
      <alignment horizontal="center" vertical="center"/>
    </xf>
    <xf numFmtId="0" fontId="11" fillId="0" borderId="442" xfId="0" applyFont="1" applyBorder="1" applyAlignment="1">
      <alignment horizontal="center"/>
    </xf>
    <xf numFmtId="2" fontId="7" fillId="0" borderId="443" xfId="4" applyNumberFormat="1" applyFont="1" applyBorder="1" applyAlignment="1">
      <alignment horizontal="center"/>
    </xf>
    <xf numFmtId="0" fontId="11" fillId="4" borderId="442" xfId="0" applyFont="1" applyFill="1" applyBorder="1" applyAlignment="1">
      <alignment horizontal="center"/>
    </xf>
    <xf numFmtId="168" fontId="7" fillId="4" borderId="443" xfId="1" applyNumberFormat="1" applyFont="1" applyFill="1" applyBorder="1" applyAlignment="1">
      <alignment horizontal="center"/>
    </xf>
    <xf numFmtId="0" fontId="11" fillId="5" borderId="442" xfId="0" applyFont="1" applyFill="1" applyBorder="1" applyAlignment="1">
      <alignment horizontal="center"/>
    </xf>
    <xf numFmtId="169" fontId="7" fillId="5" borderId="443" xfId="4" applyNumberFormat="1" applyFont="1" applyFill="1" applyBorder="1" applyAlignment="1">
      <alignment horizontal="center"/>
    </xf>
    <xf numFmtId="0" fontId="12" fillId="0" borderId="442" xfId="0" applyFont="1" applyBorder="1" applyAlignment="1">
      <alignment horizontal="center"/>
    </xf>
    <xf numFmtId="169" fontId="13" fillId="0" borderId="443" xfId="4" applyNumberFormat="1" applyFont="1" applyBorder="1" applyAlignment="1">
      <alignment horizontal="center"/>
    </xf>
    <xf numFmtId="168" fontId="7" fillId="4" borderId="443" xfId="1" applyNumberFormat="1" applyFont="1" applyFill="1" applyBorder="1" applyAlignment="1">
      <alignment horizontal="right"/>
    </xf>
    <xf numFmtId="1" fontId="7" fillId="0" borderId="444" xfId="4" applyNumberFormat="1" applyFont="1" applyBorder="1" applyAlignment="1">
      <alignment horizontal="center"/>
    </xf>
    <xf numFmtId="10" fontId="9" fillId="0" borderId="445" xfId="5" applyFont="1" applyBorder="1" applyAlignment="1">
      <alignment horizontal="center" vertical="center"/>
    </xf>
    <xf numFmtId="0" fontId="11" fillId="0" borderId="446" xfId="0" applyFont="1" applyBorder="1" applyAlignment="1">
      <alignment horizontal="center"/>
    </xf>
    <xf numFmtId="2" fontId="7" fillId="0" borderId="447" xfId="4" applyNumberFormat="1" applyFont="1" applyBorder="1" applyAlignment="1">
      <alignment horizontal="center"/>
    </xf>
    <xf numFmtId="0" fontId="11" fillId="4" borderId="446" xfId="0" applyFont="1" applyFill="1" applyBorder="1" applyAlignment="1">
      <alignment horizontal="center"/>
    </xf>
    <xf numFmtId="168" fontId="7" fillId="4" borderId="447" xfId="1" applyNumberFormat="1" applyFont="1" applyFill="1" applyBorder="1" applyAlignment="1">
      <alignment horizontal="center"/>
    </xf>
    <xf numFmtId="0" fontId="11" fillId="5" borderId="446" xfId="0" applyFont="1" applyFill="1" applyBorder="1" applyAlignment="1">
      <alignment horizontal="center"/>
    </xf>
    <xf numFmtId="169" fontId="7" fillId="5" borderId="447" xfId="4" applyNumberFormat="1" applyFont="1" applyFill="1" applyBorder="1" applyAlignment="1">
      <alignment horizontal="center"/>
    </xf>
    <xf numFmtId="0" fontId="12" fillId="0" borderId="446" xfId="0" applyFont="1" applyBorder="1" applyAlignment="1">
      <alignment horizontal="center"/>
    </xf>
    <xf numFmtId="169" fontId="13" fillId="0" borderId="447" xfId="4" applyNumberFormat="1" applyFont="1" applyBorder="1" applyAlignment="1">
      <alignment horizontal="center"/>
    </xf>
    <xf numFmtId="168" fontId="7" fillId="4" borderId="447" xfId="1" applyNumberFormat="1" applyFont="1" applyFill="1" applyBorder="1" applyAlignment="1">
      <alignment horizontal="right"/>
    </xf>
    <xf numFmtId="1" fontId="7" fillId="0" borderId="448" xfId="4" applyNumberFormat="1" applyFont="1" applyBorder="1" applyAlignment="1">
      <alignment horizontal="center"/>
    </xf>
    <xf numFmtId="10" fontId="9" fillId="0" borderId="449" xfId="5" applyFont="1" applyBorder="1" applyAlignment="1">
      <alignment horizontal="center" vertical="center"/>
    </xf>
    <xf numFmtId="0" fontId="11" fillId="0" borderId="450" xfId="0" applyFont="1" applyBorder="1" applyAlignment="1">
      <alignment horizontal="center"/>
    </xf>
    <xf numFmtId="2" fontId="7" fillId="0" borderId="451" xfId="4" applyNumberFormat="1" applyFont="1" applyBorder="1" applyAlignment="1">
      <alignment horizontal="center"/>
    </xf>
    <xf numFmtId="0" fontId="11" fillId="4" borderId="450" xfId="0" applyFont="1" applyFill="1" applyBorder="1" applyAlignment="1">
      <alignment horizontal="center"/>
    </xf>
    <xf numFmtId="168" fontId="7" fillId="4" borderId="451" xfId="1" applyNumberFormat="1" applyFont="1" applyFill="1" applyBorder="1" applyAlignment="1">
      <alignment horizontal="center"/>
    </xf>
    <xf numFmtId="0" fontId="11" fillId="5" borderId="450" xfId="0" applyFont="1" applyFill="1" applyBorder="1" applyAlignment="1">
      <alignment horizontal="center"/>
    </xf>
    <xf numFmtId="169" fontId="7" fillId="5" borderId="451" xfId="4" applyNumberFormat="1" applyFont="1" applyFill="1" applyBorder="1" applyAlignment="1">
      <alignment horizontal="center"/>
    </xf>
    <xf numFmtId="0" fontId="12" fillId="0" borderId="450" xfId="0" applyFont="1" applyBorder="1" applyAlignment="1">
      <alignment horizontal="center"/>
    </xf>
    <xf numFmtId="169" fontId="13" fillId="0" borderId="451" xfId="4" applyNumberFormat="1" applyFont="1" applyBorder="1" applyAlignment="1">
      <alignment horizontal="center"/>
    </xf>
    <xf numFmtId="168" fontId="7" fillId="4" borderId="451" xfId="1" applyNumberFormat="1" applyFont="1" applyFill="1" applyBorder="1" applyAlignment="1">
      <alignment horizontal="right"/>
    </xf>
    <xf numFmtId="1" fontId="7" fillId="0" borderId="452" xfId="4" applyNumberFormat="1" applyFont="1" applyBorder="1" applyAlignment="1">
      <alignment horizontal="center"/>
    </xf>
    <xf numFmtId="10" fontId="9" fillId="0" borderId="453" xfId="5" applyFont="1" applyBorder="1" applyAlignment="1">
      <alignment horizontal="center" vertical="center"/>
    </xf>
    <xf numFmtId="0" fontId="11" fillId="0" borderId="454" xfId="0" applyFont="1" applyBorder="1" applyAlignment="1">
      <alignment horizontal="center"/>
    </xf>
    <xf numFmtId="2" fontId="7" fillId="0" borderId="455" xfId="4" applyNumberFormat="1" applyFont="1" applyBorder="1" applyAlignment="1">
      <alignment horizontal="center"/>
    </xf>
    <xf numFmtId="0" fontId="11" fillId="4" borderId="454" xfId="0" applyFont="1" applyFill="1" applyBorder="1" applyAlignment="1">
      <alignment horizontal="center"/>
    </xf>
    <xf numFmtId="168" fontId="7" fillId="4" borderId="455" xfId="1" applyNumberFormat="1" applyFont="1" applyFill="1" applyBorder="1" applyAlignment="1">
      <alignment horizontal="center"/>
    </xf>
    <xf numFmtId="0" fontId="11" fillId="5" borderId="454" xfId="0" applyFont="1" applyFill="1" applyBorder="1" applyAlignment="1">
      <alignment horizontal="center"/>
    </xf>
    <xf numFmtId="169" fontId="7" fillId="5" borderId="455" xfId="4" applyNumberFormat="1" applyFont="1" applyFill="1" applyBorder="1" applyAlignment="1">
      <alignment horizontal="center"/>
    </xf>
    <xf numFmtId="0" fontId="12" fillId="0" borderId="454" xfId="0" applyFont="1" applyBorder="1" applyAlignment="1">
      <alignment horizontal="center"/>
    </xf>
    <xf numFmtId="169" fontId="13" fillId="0" borderId="455" xfId="4" applyNumberFormat="1" applyFont="1" applyBorder="1" applyAlignment="1">
      <alignment horizontal="center"/>
    </xf>
    <xf numFmtId="168" fontId="7" fillId="4" borderId="455" xfId="1" applyNumberFormat="1" applyFont="1" applyFill="1" applyBorder="1" applyAlignment="1">
      <alignment horizontal="right"/>
    </xf>
    <xf numFmtId="1" fontId="7" fillId="0" borderId="456" xfId="4" applyNumberFormat="1" applyFont="1" applyBorder="1" applyAlignment="1">
      <alignment horizontal="center"/>
    </xf>
    <xf numFmtId="10" fontId="9" fillId="0" borderId="457" xfId="5" applyFont="1" applyBorder="1" applyAlignment="1">
      <alignment horizontal="center" vertical="center"/>
    </xf>
    <xf numFmtId="0" fontId="11" fillId="0" borderId="458" xfId="0" applyFont="1" applyBorder="1" applyAlignment="1">
      <alignment horizontal="center"/>
    </xf>
    <xf numFmtId="2" fontId="7" fillId="6" borderId="459" xfId="4" applyNumberFormat="1" applyFont="1" applyFill="1" applyBorder="1" applyAlignment="1">
      <alignment horizontal="center"/>
    </xf>
    <xf numFmtId="0" fontId="11" fillId="4" borderId="458" xfId="0" applyFont="1" applyFill="1" applyBorder="1" applyAlignment="1">
      <alignment horizontal="center"/>
    </xf>
    <xf numFmtId="168" fontId="7" fillId="4" borderId="459" xfId="1" applyNumberFormat="1" applyFont="1" applyFill="1" applyBorder="1" applyAlignment="1">
      <alignment horizontal="center"/>
    </xf>
    <xf numFmtId="0" fontId="11" fillId="5" borderId="458" xfId="0" applyFont="1" applyFill="1" applyBorder="1" applyAlignment="1">
      <alignment horizontal="center"/>
    </xf>
    <xf numFmtId="169" fontId="7" fillId="5" borderId="459" xfId="4" applyNumberFormat="1" applyFont="1" applyFill="1" applyBorder="1" applyAlignment="1">
      <alignment horizontal="center"/>
    </xf>
    <xf numFmtId="0" fontId="12" fillId="0" borderId="458" xfId="0" applyFont="1" applyBorder="1" applyAlignment="1">
      <alignment horizontal="center"/>
    </xf>
    <xf numFmtId="169" fontId="13" fillId="0" borderId="459" xfId="4" applyNumberFormat="1" applyFont="1" applyBorder="1" applyAlignment="1">
      <alignment horizontal="center"/>
    </xf>
    <xf numFmtId="168" fontId="7" fillId="4" borderId="459" xfId="1" applyNumberFormat="1" applyFont="1" applyFill="1" applyBorder="1" applyAlignment="1">
      <alignment horizontal="right"/>
    </xf>
    <xf numFmtId="1" fontId="7" fillId="0" borderId="460" xfId="4" applyNumberFormat="1" applyFont="1" applyBorder="1" applyAlignment="1">
      <alignment horizontal="center"/>
    </xf>
    <xf numFmtId="10" fontId="9" fillId="0" borderId="461" xfId="5" applyFont="1" applyBorder="1" applyAlignment="1">
      <alignment horizontal="center" vertical="center"/>
    </xf>
    <xf numFmtId="0" fontId="11" fillId="0" borderId="462" xfId="0" applyFont="1" applyBorder="1" applyAlignment="1">
      <alignment horizontal="center"/>
    </xf>
    <xf numFmtId="2" fontId="7" fillId="0" borderId="463" xfId="4" applyNumberFormat="1" applyFont="1" applyBorder="1" applyAlignment="1">
      <alignment horizontal="center"/>
    </xf>
    <xf numFmtId="0" fontId="11" fillId="4" borderId="462" xfId="0" applyFont="1" applyFill="1" applyBorder="1" applyAlignment="1">
      <alignment horizontal="center"/>
    </xf>
    <xf numFmtId="168" fontId="7" fillId="4" borderId="463" xfId="1" applyNumberFormat="1" applyFont="1" applyFill="1" applyBorder="1" applyAlignment="1">
      <alignment horizontal="center"/>
    </xf>
    <xf numFmtId="0" fontId="11" fillId="5" borderId="462" xfId="0" applyFont="1" applyFill="1" applyBorder="1" applyAlignment="1">
      <alignment horizontal="center"/>
    </xf>
    <xf numFmtId="169" fontId="7" fillId="5" borderId="463" xfId="4" applyNumberFormat="1" applyFont="1" applyFill="1" applyBorder="1" applyAlignment="1">
      <alignment horizontal="center"/>
    </xf>
    <xf numFmtId="0" fontId="12" fillId="0" borderId="462" xfId="0" applyFont="1" applyBorder="1" applyAlignment="1">
      <alignment horizontal="center"/>
    </xf>
    <xf numFmtId="169" fontId="13" fillId="0" borderId="463" xfId="4" applyNumberFormat="1" applyFont="1" applyBorder="1" applyAlignment="1">
      <alignment horizontal="center"/>
    </xf>
    <xf numFmtId="168" fontId="7" fillId="4" borderId="463" xfId="1" applyNumberFormat="1" applyFont="1" applyFill="1" applyBorder="1" applyAlignment="1">
      <alignment horizontal="right"/>
    </xf>
    <xf numFmtId="1" fontId="7" fillId="0" borderId="464" xfId="4" applyNumberFormat="1" applyFont="1" applyBorder="1" applyAlignment="1">
      <alignment horizontal="center"/>
    </xf>
    <xf numFmtId="10" fontId="9" fillId="0" borderId="465" xfId="5" applyFont="1" applyBorder="1" applyAlignment="1">
      <alignment horizontal="center" vertical="center"/>
    </xf>
    <xf numFmtId="0" fontId="11" fillId="0" borderId="466" xfId="0" applyFont="1" applyBorder="1" applyAlignment="1">
      <alignment horizontal="center"/>
    </xf>
    <xf numFmtId="2" fontId="7" fillId="0" borderId="467" xfId="4" applyNumberFormat="1" applyFont="1" applyBorder="1" applyAlignment="1">
      <alignment horizontal="center"/>
    </xf>
    <xf numFmtId="0" fontId="11" fillId="4" borderId="466" xfId="0" applyFont="1" applyFill="1" applyBorder="1" applyAlignment="1">
      <alignment horizontal="center"/>
    </xf>
    <xf numFmtId="168" fontId="7" fillId="4" borderId="467" xfId="1" applyNumberFormat="1" applyFont="1" applyFill="1" applyBorder="1" applyAlignment="1">
      <alignment horizontal="center"/>
    </xf>
    <xf numFmtId="0" fontId="11" fillId="5" borderId="466" xfId="0" applyFont="1" applyFill="1" applyBorder="1" applyAlignment="1">
      <alignment horizontal="center"/>
    </xf>
    <xf numFmtId="169" fontId="7" fillId="5" borderId="467" xfId="4" applyNumberFormat="1" applyFont="1" applyFill="1" applyBorder="1" applyAlignment="1">
      <alignment horizontal="center"/>
    </xf>
    <xf numFmtId="0" fontId="12" fillId="0" borderId="466" xfId="0" applyFont="1" applyBorder="1" applyAlignment="1">
      <alignment horizontal="center"/>
    </xf>
    <xf numFmtId="169" fontId="13" fillId="0" borderId="467" xfId="4" applyNumberFormat="1" applyFont="1" applyBorder="1" applyAlignment="1">
      <alignment horizontal="center"/>
    </xf>
    <xf numFmtId="168" fontId="7" fillId="4" borderId="467" xfId="1" applyNumberFormat="1" applyFont="1" applyFill="1" applyBorder="1" applyAlignment="1">
      <alignment horizontal="right"/>
    </xf>
    <xf numFmtId="1" fontId="7" fillId="0" borderId="468" xfId="4" applyNumberFormat="1" applyFont="1" applyBorder="1" applyAlignment="1">
      <alignment horizontal="center"/>
    </xf>
    <xf numFmtId="10" fontId="9" fillId="0" borderId="469" xfId="5" applyFont="1" applyBorder="1" applyAlignment="1">
      <alignment horizontal="center" vertical="center"/>
    </xf>
    <xf numFmtId="0" fontId="11" fillId="0" borderId="470" xfId="0" applyFont="1" applyBorder="1" applyAlignment="1">
      <alignment horizontal="center"/>
    </xf>
    <xf numFmtId="2" fontId="7" fillId="0" borderId="471" xfId="4" applyNumberFormat="1" applyFont="1" applyBorder="1" applyAlignment="1">
      <alignment horizontal="center"/>
    </xf>
    <xf numFmtId="0" fontId="11" fillId="4" borderId="470" xfId="0" applyFont="1" applyFill="1" applyBorder="1" applyAlignment="1">
      <alignment horizontal="center"/>
    </xf>
    <xf numFmtId="168" fontId="7" fillId="4" borderId="471" xfId="1" applyNumberFormat="1" applyFont="1" applyFill="1" applyBorder="1" applyAlignment="1">
      <alignment horizontal="center"/>
    </xf>
    <xf numFmtId="0" fontId="11" fillId="5" borderId="470" xfId="0" applyFont="1" applyFill="1" applyBorder="1" applyAlignment="1">
      <alignment horizontal="center"/>
    </xf>
    <xf numFmtId="169" fontId="7" fillId="5" borderId="471" xfId="4" applyNumberFormat="1" applyFont="1" applyFill="1" applyBorder="1" applyAlignment="1">
      <alignment horizontal="center"/>
    </xf>
    <xf numFmtId="0" fontId="12" fillId="0" borderId="470" xfId="0" applyFont="1" applyBorder="1" applyAlignment="1">
      <alignment horizontal="center"/>
    </xf>
    <xf numFmtId="169" fontId="13" fillId="0" borderId="471" xfId="4" applyNumberFormat="1" applyFont="1" applyBorder="1" applyAlignment="1">
      <alignment horizontal="center"/>
    </xf>
    <xf numFmtId="168" fontId="7" fillId="4" borderId="471" xfId="1" applyNumberFormat="1" applyFont="1" applyFill="1" applyBorder="1" applyAlignment="1">
      <alignment horizontal="right"/>
    </xf>
    <xf numFmtId="1" fontId="7" fillId="0" borderId="472" xfId="4" applyNumberFormat="1" applyFont="1" applyBorder="1" applyAlignment="1">
      <alignment horizontal="center"/>
    </xf>
    <xf numFmtId="10" fontId="9" fillId="0" borderId="473" xfId="5" applyFont="1" applyBorder="1" applyAlignment="1">
      <alignment horizontal="center" vertical="center"/>
    </xf>
    <xf numFmtId="0" fontId="11" fillId="0" borderId="474" xfId="0" applyFont="1" applyBorder="1" applyAlignment="1">
      <alignment horizontal="center"/>
    </xf>
    <xf numFmtId="2" fontId="7" fillId="0" borderId="475" xfId="4" applyNumberFormat="1" applyFont="1" applyBorder="1" applyAlignment="1">
      <alignment horizontal="center"/>
    </xf>
    <xf numFmtId="0" fontId="11" fillId="4" borderId="474" xfId="0" applyFont="1" applyFill="1" applyBorder="1" applyAlignment="1">
      <alignment horizontal="center"/>
    </xf>
    <xf numFmtId="168" fontId="7" fillId="4" borderId="475" xfId="1" applyNumberFormat="1" applyFont="1" applyFill="1" applyBorder="1" applyAlignment="1">
      <alignment horizontal="center"/>
    </xf>
    <xf numFmtId="0" fontId="11" fillId="5" borderId="474" xfId="0" applyFont="1" applyFill="1" applyBorder="1" applyAlignment="1">
      <alignment horizontal="center"/>
    </xf>
    <xf numFmtId="169" fontId="7" fillId="5" borderId="475" xfId="4" applyNumberFormat="1" applyFont="1" applyFill="1" applyBorder="1" applyAlignment="1">
      <alignment horizontal="center"/>
    </xf>
    <xf numFmtId="0" fontId="12" fillId="0" borderId="474" xfId="0" applyFont="1" applyBorder="1" applyAlignment="1">
      <alignment horizontal="center"/>
    </xf>
    <xf numFmtId="169" fontId="13" fillId="0" borderId="475" xfId="4" applyNumberFormat="1" applyFont="1" applyBorder="1" applyAlignment="1">
      <alignment horizontal="center"/>
    </xf>
    <xf numFmtId="168" fontId="7" fillId="4" borderId="475" xfId="1" applyNumberFormat="1" applyFont="1" applyFill="1" applyBorder="1" applyAlignment="1">
      <alignment horizontal="right"/>
    </xf>
    <xf numFmtId="1" fontId="7" fillId="0" borderId="476" xfId="4" applyNumberFormat="1" applyFont="1" applyBorder="1" applyAlignment="1">
      <alignment horizontal="center"/>
    </xf>
    <xf numFmtId="10" fontId="9" fillId="0" borderId="477" xfId="5" applyFont="1" applyBorder="1" applyAlignment="1">
      <alignment horizontal="center" vertical="center"/>
    </xf>
    <xf numFmtId="0" fontId="11" fillId="0" borderId="478" xfId="0" applyFont="1" applyBorder="1" applyAlignment="1">
      <alignment horizontal="center"/>
    </xf>
    <xf numFmtId="2" fontId="7" fillId="0" borderId="479" xfId="4" applyNumberFormat="1" applyFont="1" applyBorder="1" applyAlignment="1">
      <alignment horizontal="center"/>
    </xf>
    <xf numFmtId="0" fontId="11" fillId="4" borderId="478" xfId="0" applyFont="1" applyFill="1" applyBorder="1" applyAlignment="1">
      <alignment horizontal="center"/>
    </xf>
    <xf numFmtId="168" fontId="7" fillId="4" borderId="479" xfId="1" applyNumberFormat="1" applyFont="1" applyFill="1" applyBorder="1" applyAlignment="1">
      <alignment horizontal="center"/>
    </xf>
    <xf numFmtId="0" fontId="11" fillId="5" borderId="478" xfId="0" applyFont="1" applyFill="1" applyBorder="1" applyAlignment="1">
      <alignment horizontal="center"/>
    </xf>
    <xf numFmtId="169" fontId="7" fillId="5" borderId="479" xfId="4" applyNumberFormat="1" applyFont="1" applyFill="1" applyBorder="1" applyAlignment="1">
      <alignment horizontal="center"/>
    </xf>
    <xf numFmtId="0" fontId="12" fillId="0" borderId="478" xfId="0" applyFont="1" applyBorder="1" applyAlignment="1">
      <alignment horizontal="center"/>
    </xf>
    <xf numFmtId="169" fontId="13" fillId="0" borderId="479" xfId="4" applyNumberFormat="1" applyFont="1" applyBorder="1" applyAlignment="1">
      <alignment horizontal="center"/>
    </xf>
    <xf numFmtId="168" fontId="7" fillId="4" borderId="479" xfId="1" applyNumberFormat="1" applyFont="1" applyFill="1" applyBorder="1" applyAlignment="1">
      <alignment horizontal="right"/>
    </xf>
    <xf numFmtId="1" fontId="7" fillId="0" borderId="480" xfId="4" applyNumberFormat="1" applyFont="1" applyBorder="1" applyAlignment="1">
      <alignment horizontal="center"/>
    </xf>
    <xf numFmtId="10" fontId="9" fillId="0" borderId="481" xfId="5" applyFont="1" applyBorder="1" applyAlignment="1">
      <alignment horizontal="center" vertical="center"/>
    </xf>
    <xf numFmtId="0" fontId="11" fillId="0" borderId="482" xfId="0" applyFont="1" applyBorder="1" applyAlignment="1">
      <alignment horizontal="center"/>
    </xf>
    <xf numFmtId="2" fontId="7" fillId="0" borderId="483" xfId="4" applyNumberFormat="1" applyFont="1" applyBorder="1" applyAlignment="1">
      <alignment horizontal="center"/>
    </xf>
    <xf numFmtId="0" fontId="11" fillId="4" borderId="482" xfId="0" applyFont="1" applyFill="1" applyBorder="1" applyAlignment="1">
      <alignment horizontal="center"/>
    </xf>
    <xf numFmtId="168" fontId="7" fillId="4" borderId="483" xfId="1" applyNumberFormat="1" applyFont="1" applyFill="1" applyBorder="1" applyAlignment="1">
      <alignment horizontal="center"/>
    </xf>
    <xf numFmtId="0" fontId="11" fillId="5" borderId="482" xfId="0" applyFont="1" applyFill="1" applyBorder="1" applyAlignment="1">
      <alignment horizontal="center"/>
    </xf>
    <xf numFmtId="169" fontId="7" fillId="5" borderId="483" xfId="4" applyNumberFormat="1" applyFont="1" applyFill="1" applyBorder="1" applyAlignment="1">
      <alignment horizontal="center"/>
    </xf>
    <xf numFmtId="0" fontId="12" fillId="0" borderId="482" xfId="0" applyFont="1" applyBorder="1" applyAlignment="1">
      <alignment horizontal="center"/>
    </xf>
    <xf numFmtId="169" fontId="13" fillId="0" borderId="483" xfId="4" applyNumberFormat="1" applyFont="1" applyBorder="1" applyAlignment="1">
      <alignment horizontal="center"/>
    </xf>
    <xf numFmtId="168" fontId="7" fillId="4" borderId="483" xfId="1" applyNumberFormat="1" applyFont="1" applyFill="1" applyBorder="1" applyAlignment="1">
      <alignment horizontal="right"/>
    </xf>
    <xf numFmtId="1" fontId="7" fillId="0" borderId="484" xfId="4" applyNumberFormat="1" applyFont="1" applyBorder="1" applyAlignment="1">
      <alignment horizontal="center"/>
    </xf>
    <xf numFmtId="10" fontId="9" fillId="0" borderId="485" xfId="5" applyFont="1" applyBorder="1" applyAlignment="1">
      <alignment horizontal="center" vertical="center"/>
    </xf>
    <xf numFmtId="0" fontId="11" fillId="0" borderId="486" xfId="0" applyFont="1" applyBorder="1" applyAlignment="1">
      <alignment horizontal="center"/>
    </xf>
    <xf numFmtId="2" fontId="7" fillId="0" borderId="487" xfId="4" applyNumberFormat="1" applyFont="1" applyBorder="1" applyAlignment="1">
      <alignment horizontal="center"/>
    </xf>
    <xf numFmtId="0" fontId="11" fillId="4" borderId="486" xfId="0" applyFont="1" applyFill="1" applyBorder="1" applyAlignment="1">
      <alignment horizontal="center"/>
    </xf>
    <xf numFmtId="168" fontId="7" fillId="4" borderId="487" xfId="1" applyNumberFormat="1" applyFont="1" applyFill="1" applyBorder="1" applyAlignment="1">
      <alignment horizontal="center"/>
    </xf>
    <xf numFmtId="0" fontId="11" fillId="5" borderId="486" xfId="0" applyFont="1" applyFill="1" applyBorder="1" applyAlignment="1">
      <alignment horizontal="center"/>
    </xf>
    <xf numFmtId="169" fontId="7" fillId="5" borderId="487" xfId="4" applyNumberFormat="1" applyFont="1" applyFill="1" applyBorder="1" applyAlignment="1">
      <alignment horizontal="center"/>
    </xf>
    <xf numFmtId="0" fontId="12" fillId="0" borderId="486" xfId="0" applyFont="1" applyBorder="1" applyAlignment="1">
      <alignment horizontal="center"/>
    </xf>
    <xf numFmtId="169" fontId="13" fillId="0" borderId="487" xfId="4" applyNumberFormat="1" applyFont="1" applyBorder="1" applyAlignment="1">
      <alignment horizontal="center"/>
    </xf>
    <xf numFmtId="168" fontId="7" fillId="4" borderId="487" xfId="1" applyNumberFormat="1" applyFont="1" applyFill="1" applyBorder="1" applyAlignment="1">
      <alignment horizontal="right"/>
    </xf>
    <xf numFmtId="1" fontId="7" fillId="0" borderId="488" xfId="4" applyNumberFormat="1" applyFont="1" applyBorder="1" applyAlignment="1">
      <alignment horizontal="center"/>
    </xf>
    <xf numFmtId="10" fontId="9" fillId="0" borderId="489" xfId="5" applyFont="1" applyBorder="1" applyAlignment="1">
      <alignment horizontal="center" vertical="center"/>
    </xf>
    <xf numFmtId="0" fontId="11" fillId="0" borderId="490" xfId="0" applyFont="1" applyBorder="1" applyAlignment="1">
      <alignment horizontal="center"/>
    </xf>
    <xf numFmtId="2" fontId="7" fillId="0" borderId="491" xfId="4" applyNumberFormat="1" applyFont="1" applyBorder="1" applyAlignment="1">
      <alignment horizontal="center"/>
    </xf>
    <xf numFmtId="0" fontId="11" fillId="4" borderId="490" xfId="0" applyFont="1" applyFill="1" applyBorder="1" applyAlignment="1">
      <alignment horizontal="center"/>
    </xf>
    <xf numFmtId="168" fontId="7" fillId="4" borderId="491" xfId="1" applyNumberFormat="1" applyFont="1" applyFill="1" applyBorder="1" applyAlignment="1">
      <alignment horizontal="center"/>
    </xf>
    <xf numFmtId="0" fontId="11" fillId="5" borderId="490" xfId="0" applyFont="1" applyFill="1" applyBorder="1" applyAlignment="1">
      <alignment horizontal="center"/>
    </xf>
    <xf numFmtId="169" fontId="7" fillId="5" borderId="491" xfId="4" applyNumberFormat="1" applyFont="1" applyFill="1" applyBorder="1" applyAlignment="1">
      <alignment horizontal="center"/>
    </xf>
    <xf numFmtId="0" fontId="12" fillId="0" borderId="490" xfId="0" applyFont="1" applyBorder="1" applyAlignment="1">
      <alignment horizontal="center"/>
    </xf>
    <xf numFmtId="169" fontId="13" fillId="0" borderId="491" xfId="4" applyNumberFormat="1" applyFont="1" applyBorder="1" applyAlignment="1">
      <alignment horizontal="center"/>
    </xf>
    <xf numFmtId="168" fontId="7" fillId="4" borderId="491" xfId="1" applyNumberFormat="1" applyFont="1" applyFill="1" applyBorder="1" applyAlignment="1">
      <alignment horizontal="right"/>
    </xf>
    <xf numFmtId="1" fontId="7" fillId="0" borderId="492" xfId="4" applyNumberFormat="1" applyFont="1" applyBorder="1" applyAlignment="1">
      <alignment horizontal="center"/>
    </xf>
    <xf numFmtId="10" fontId="9" fillId="0" borderId="493" xfId="5" applyFont="1" applyBorder="1" applyAlignment="1">
      <alignment horizontal="center" vertical="center"/>
    </xf>
    <xf numFmtId="0" fontId="11" fillId="0" borderId="494" xfId="0" applyFont="1" applyBorder="1" applyAlignment="1">
      <alignment horizontal="center"/>
    </xf>
    <xf numFmtId="2" fontId="7" fillId="0" borderId="495" xfId="4" applyNumberFormat="1" applyFont="1" applyBorder="1" applyAlignment="1">
      <alignment horizontal="center"/>
    </xf>
    <xf numFmtId="0" fontId="11" fillId="4" borderId="494" xfId="0" applyFont="1" applyFill="1" applyBorder="1" applyAlignment="1">
      <alignment horizontal="center"/>
    </xf>
    <xf numFmtId="168" fontId="7" fillId="4" borderId="495" xfId="1" applyNumberFormat="1" applyFont="1" applyFill="1" applyBorder="1" applyAlignment="1">
      <alignment horizontal="center"/>
    </xf>
    <xf numFmtId="0" fontId="11" fillId="5" borderId="494" xfId="0" applyFont="1" applyFill="1" applyBorder="1" applyAlignment="1">
      <alignment horizontal="center"/>
    </xf>
    <xf numFmtId="169" fontId="7" fillId="5" borderId="495" xfId="4" applyNumberFormat="1" applyFont="1" applyFill="1" applyBorder="1" applyAlignment="1">
      <alignment horizontal="center"/>
    </xf>
    <xf numFmtId="0" fontId="12" fillId="0" borderId="494" xfId="0" applyFont="1" applyBorder="1" applyAlignment="1">
      <alignment horizontal="center"/>
    </xf>
    <xf numFmtId="169" fontId="13" fillId="0" borderId="495" xfId="4" applyNumberFormat="1" applyFont="1" applyBorder="1" applyAlignment="1">
      <alignment horizontal="center"/>
    </xf>
    <xf numFmtId="168" fontId="7" fillId="4" borderId="495" xfId="1" applyNumberFormat="1" applyFont="1" applyFill="1" applyBorder="1" applyAlignment="1">
      <alignment horizontal="right"/>
    </xf>
    <xf numFmtId="1" fontId="7" fillId="0" borderId="496" xfId="4" applyNumberFormat="1" applyFont="1" applyBorder="1" applyAlignment="1">
      <alignment horizontal="center"/>
    </xf>
    <xf numFmtId="10" fontId="9" fillId="0" borderId="497" xfId="5" applyFont="1" applyBorder="1" applyAlignment="1">
      <alignment horizontal="center" vertical="center"/>
    </xf>
    <xf numFmtId="0" fontId="11" fillId="0" borderId="498" xfId="0" applyFont="1" applyBorder="1" applyAlignment="1">
      <alignment horizontal="center"/>
    </xf>
    <xf numFmtId="2" fontId="7" fillId="0" borderId="499" xfId="4" applyNumberFormat="1" applyFont="1" applyBorder="1" applyAlignment="1">
      <alignment horizontal="center"/>
    </xf>
    <xf numFmtId="0" fontId="11" fillId="4" borderId="498" xfId="0" applyFont="1" applyFill="1" applyBorder="1" applyAlignment="1">
      <alignment horizontal="center"/>
    </xf>
    <xf numFmtId="168" fontId="7" fillId="4" borderId="499" xfId="1" applyNumberFormat="1" applyFont="1" applyFill="1" applyBorder="1" applyAlignment="1">
      <alignment horizontal="center"/>
    </xf>
    <xf numFmtId="0" fontId="11" fillId="5" borderId="498" xfId="0" applyFont="1" applyFill="1" applyBorder="1" applyAlignment="1">
      <alignment horizontal="center"/>
    </xf>
    <xf numFmtId="169" fontId="7" fillId="5" borderId="499" xfId="4" applyNumberFormat="1" applyFont="1" applyFill="1" applyBorder="1" applyAlignment="1">
      <alignment horizontal="center"/>
    </xf>
    <xf numFmtId="0" fontId="12" fillId="0" borderId="498" xfId="0" applyFont="1" applyBorder="1" applyAlignment="1">
      <alignment horizontal="center"/>
    </xf>
    <xf numFmtId="169" fontId="13" fillId="0" borderId="499" xfId="4" applyNumberFormat="1" applyFont="1" applyBorder="1" applyAlignment="1">
      <alignment horizontal="center"/>
    </xf>
    <xf numFmtId="168" fontId="7" fillId="4" borderId="499" xfId="1" applyNumberFormat="1" applyFont="1" applyFill="1" applyBorder="1" applyAlignment="1">
      <alignment horizontal="right"/>
    </xf>
    <xf numFmtId="1" fontId="7" fillId="0" borderId="500" xfId="4" applyNumberFormat="1" applyFont="1" applyBorder="1" applyAlignment="1">
      <alignment horizontal="center"/>
    </xf>
    <xf numFmtId="10" fontId="9" fillId="0" borderId="501" xfId="5" applyFont="1" applyBorder="1" applyAlignment="1">
      <alignment horizontal="center" vertical="center"/>
    </xf>
    <xf numFmtId="0" fontId="11" fillId="0" borderId="502" xfId="0" applyFont="1" applyBorder="1" applyAlignment="1">
      <alignment horizontal="center"/>
    </xf>
    <xf numFmtId="2" fontId="7" fillId="0" borderId="503" xfId="4" applyNumberFormat="1" applyFont="1" applyBorder="1" applyAlignment="1">
      <alignment horizontal="center"/>
    </xf>
    <xf numFmtId="0" fontId="11" fillId="4" borderId="502" xfId="0" applyFont="1" applyFill="1" applyBorder="1" applyAlignment="1">
      <alignment horizontal="center"/>
    </xf>
    <xf numFmtId="168" fontId="7" fillId="4" borderId="503" xfId="1" applyNumberFormat="1" applyFont="1" applyFill="1" applyBorder="1" applyAlignment="1">
      <alignment horizontal="center"/>
    </xf>
    <xf numFmtId="0" fontId="11" fillId="5" borderId="502" xfId="0" applyFont="1" applyFill="1" applyBorder="1" applyAlignment="1">
      <alignment horizontal="center"/>
    </xf>
    <xf numFmtId="169" fontId="7" fillId="5" borderId="503" xfId="4" applyNumberFormat="1" applyFont="1" applyFill="1" applyBorder="1" applyAlignment="1">
      <alignment horizontal="center"/>
    </xf>
    <xf numFmtId="0" fontId="12" fillId="0" borderId="502" xfId="0" applyFont="1" applyBorder="1" applyAlignment="1">
      <alignment horizontal="center"/>
    </xf>
    <xf numFmtId="169" fontId="13" fillId="0" borderId="503" xfId="4" applyNumberFormat="1" applyFont="1" applyBorder="1" applyAlignment="1">
      <alignment horizontal="center"/>
    </xf>
    <xf numFmtId="168" fontId="7" fillId="4" borderId="503" xfId="1" applyNumberFormat="1" applyFont="1" applyFill="1" applyBorder="1" applyAlignment="1">
      <alignment horizontal="right"/>
    </xf>
    <xf numFmtId="1" fontId="7" fillId="0" borderId="504" xfId="4" applyNumberFormat="1" applyFont="1" applyBorder="1" applyAlignment="1">
      <alignment horizontal="center"/>
    </xf>
    <xf numFmtId="10" fontId="9" fillId="0" borderId="505" xfId="5" applyFont="1" applyBorder="1" applyAlignment="1">
      <alignment horizontal="center" vertical="center"/>
    </xf>
    <xf numFmtId="0" fontId="11" fillId="0" borderId="506" xfId="0" applyFont="1" applyBorder="1" applyAlignment="1">
      <alignment horizontal="center"/>
    </xf>
    <xf numFmtId="2" fontId="7" fillId="0" borderId="507" xfId="4" applyNumberFormat="1" applyFont="1" applyBorder="1" applyAlignment="1">
      <alignment horizontal="center"/>
    </xf>
    <xf numFmtId="0" fontId="11" fillId="4" borderId="506" xfId="0" applyFont="1" applyFill="1" applyBorder="1" applyAlignment="1">
      <alignment horizontal="center"/>
    </xf>
    <xf numFmtId="168" fontId="7" fillId="4" borderId="507" xfId="1" applyNumberFormat="1" applyFont="1" applyFill="1" applyBorder="1" applyAlignment="1">
      <alignment horizontal="center"/>
    </xf>
    <xf numFmtId="0" fontId="11" fillId="5" borderId="506" xfId="0" applyFont="1" applyFill="1" applyBorder="1" applyAlignment="1">
      <alignment horizontal="center"/>
    </xf>
    <xf numFmtId="169" fontId="7" fillId="5" borderId="507" xfId="4" applyNumberFormat="1" applyFont="1" applyFill="1" applyBorder="1" applyAlignment="1">
      <alignment horizontal="center"/>
    </xf>
    <xf numFmtId="0" fontId="12" fillId="0" borderId="506" xfId="0" applyFont="1" applyBorder="1" applyAlignment="1">
      <alignment horizontal="center"/>
    </xf>
    <xf numFmtId="169" fontId="13" fillId="0" borderId="507" xfId="4" applyNumberFormat="1" applyFont="1" applyBorder="1" applyAlignment="1">
      <alignment horizontal="center"/>
    </xf>
    <xf numFmtId="168" fontId="7" fillId="4" borderId="507" xfId="1" applyNumberFormat="1" applyFont="1" applyFill="1" applyBorder="1" applyAlignment="1">
      <alignment horizontal="right"/>
    </xf>
    <xf numFmtId="1" fontId="7" fillId="0" borderId="508" xfId="4" applyNumberFormat="1" applyFont="1" applyBorder="1" applyAlignment="1">
      <alignment horizontal="center"/>
    </xf>
    <xf numFmtId="10" fontId="9" fillId="0" borderId="509" xfId="5" applyFont="1" applyBorder="1" applyAlignment="1">
      <alignment horizontal="center" vertical="center"/>
    </xf>
    <xf numFmtId="0" fontId="11" fillId="0" borderId="510" xfId="0" applyFont="1" applyBorder="1" applyAlignment="1">
      <alignment horizontal="center"/>
    </xf>
    <xf numFmtId="2" fontId="7" fillId="0" borderId="511" xfId="4" applyNumberFormat="1" applyFont="1" applyBorder="1" applyAlignment="1">
      <alignment horizontal="center"/>
    </xf>
    <xf numFmtId="0" fontId="11" fillId="4" borderId="510" xfId="0" applyFont="1" applyFill="1" applyBorder="1" applyAlignment="1">
      <alignment horizontal="center"/>
    </xf>
    <xf numFmtId="168" fontId="7" fillId="4" borderId="511" xfId="1" applyNumberFormat="1" applyFont="1" applyFill="1" applyBorder="1" applyAlignment="1">
      <alignment horizontal="center"/>
    </xf>
    <xf numFmtId="0" fontId="11" fillId="5" borderId="510" xfId="0" applyFont="1" applyFill="1" applyBorder="1" applyAlignment="1">
      <alignment horizontal="center"/>
    </xf>
    <xf numFmtId="169" fontId="7" fillId="5" borderId="511" xfId="4" applyNumberFormat="1" applyFont="1" applyFill="1" applyBorder="1" applyAlignment="1">
      <alignment horizontal="center"/>
    </xf>
    <xf numFmtId="0" fontId="12" fillId="0" borderId="510" xfId="0" applyFont="1" applyBorder="1" applyAlignment="1">
      <alignment horizontal="center"/>
    </xf>
    <xf numFmtId="169" fontId="13" fillId="0" borderId="511" xfId="4" applyNumberFormat="1" applyFont="1" applyBorder="1" applyAlignment="1">
      <alignment horizontal="center"/>
    </xf>
    <xf numFmtId="168" fontId="7" fillId="4" borderId="511" xfId="1" applyNumberFormat="1" applyFont="1" applyFill="1" applyBorder="1" applyAlignment="1">
      <alignment horizontal="right"/>
    </xf>
    <xf numFmtId="1" fontId="7" fillId="0" borderId="512" xfId="4" applyNumberFormat="1" applyFont="1" applyBorder="1" applyAlignment="1">
      <alignment horizontal="center"/>
    </xf>
    <xf numFmtId="10" fontId="9" fillId="0" borderId="513" xfId="5" applyFont="1" applyBorder="1" applyAlignment="1">
      <alignment horizontal="center" vertical="center"/>
    </xf>
    <xf numFmtId="0" fontId="11" fillId="0" borderId="514" xfId="0" applyFont="1" applyBorder="1" applyAlignment="1">
      <alignment horizontal="center"/>
    </xf>
    <xf numFmtId="2" fontId="7" fillId="6" borderId="515" xfId="4" applyNumberFormat="1" applyFont="1" applyFill="1" applyBorder="1" applyAlignment="1">
      <alignment horizontal="center"/>
    </xf>
    <xf numFmtId="0" fontId="11" fillId="4" borderId="514" xfId="0" applyFont="1" applyFill="1" applyBorder="1" applyAlignment="1">
      <alignment horizontal="center"/>
    </xf>
    <xf numFmtId="168" fontId="7" fillId="4" borderId="515" xfId="1" applyNumberFormat="1" applyFont="1" applyFill="1" applyBorder="1" applyAlignment="1">
      <alignment horizontal="center"/>
    </xf>
    <xf numFmtId="0" fontId="11" fillId="5" borderId="514" xfId="0" applyFont="1" applyFill="1" applyBorder="1" applyAlignment="1">
      <alignment horizontal="center"/>
    </xf>
    <xf numFmtId="169" fontId="7" fillId="5" borderId="515" xfId="4" applyNumberFormat="1" applyFont="1" applyFill="1" applyBorder="1" applyAlignment="1">
      <alignment horizontal="center"/>
    </xf>
    <xf numFmtId="0" fontId="12" fillId="0" borderId="514" xfId="0" applyFont="1" applyBorder="1" applyAlignment="1">
      <alignment horizontal="center"/>
    </xf>
    <xf numFmtId="169" fontId="13" fillId="0" borderId="515" xfId="4" applyNumberFormat="1" applyFont="1" applyBorder="1" applyAlignment="1">
      <alignment horizontal="center"/>
    </xf>
    <xf numFmtId="168" fontId="7" fillId="4" borderId="515" xfId="1" applyNumberFormat="1" applyFont="1" applyFill="1" applyBorder="1" applyAlignment="1">
      <alignment horizontal="right"/>
    </xf>
    <xf numFmtId="1" fontId="7" fillId="0" borderId="516" xfId="4" applyNumberFormat="1" applyFont="1" applyBorder="1" applyAlignment="1">
      <alignment horizontal="center"/>
    </xf>
    <xf numFmtId="10" fontId="9" fillId="0" borderId="517" xfId="5" applyFont="1" applyBorder="1" applyAlignment="1">
      <alignment horizontal="center" vertical="center"/>
    </xf>
    <xf numFmtId="0" fontId="11" fillId="0" borderId="518" xfId="0" applyFont="1" applyBorder="1" applyAlignment="1">
      <alignment horizontal="center"/>
    </xf>
    <xf numFmtId="2" fontId="7" fillId="0" borderId="519" xfId="4" applyNumberFormat="1" applyFont="1" applyBorder="1" applyAlignment="1">
      <alignment horizontal="center"/>
    </xf>
    <xf numFmtId="0" fontId="11" fillId="4" borderId="518" xfId="0" applyFont="1" applyFill="1" applyBorder="1" applyAlignment="1">
      <alignment horizontal="center"/>
    </xf>
    <xf numFmtId="168" fontId="7" fillId="4" borderId="519" xfId="1" applyNumberFormat="1" applyFont="1" applyFill="1" applyBorder="1" applyAlignment="1">
      <alignment horizontal="center"/>
    </xf>
    <xf numFmtId="0" fontId="11" fillId="5" borderId="518" xfId="0" applyFont="1" applyFill="1" applyBorder="1" applyAlignment="1">
      <alignment horizontal="center"/>
    </xf>
    <xf numFmtId="169" fontId="7" fillId="5" borderId="519" xfId="4" applyNumberFormat="1" applyFont="1" applyFill="1" applyBorder="1" applyAlignment="1">
      <alignment horizontal="center"/>
    </xf>
    <xf numFmtId="0" fontId="12" fillId="0" borderId="518" xfId="0" applyFont="1" applyBorder="1" applyAlignment="1">
      <alignment horizontal="center"/>
    </xf>
    <xf numFmtId="169" fontId="13" fillId="0" borderId="519" xfId="4" applyNumberFormat="1" applyFont="1" applyBorder="1" applyAlignment="1">
      <alignment horizontal="center"/>
    </xf>
    <xf numFmtId="168" fontId="7" fillId="4" borderId="519" xfId="1" applyNumberFormat="1" applyFont="1" applyFill="1" applyBorder="1" applyAlignment="1">
      <alignment horizontal="right"/>
    </xf>
    <xf numFmtId="1" fontId="7" fillId="0" borderId="520" xfId="4" applyNumberFormat="1" applyFont="1" applyBorder="1" applyAlignment="1">
      <alignment horizontal="center"/>
    </xf>
    <xf numFmtId="10" fontId="9" fillId="0" borderId="521" xfId="5" applyFont="1" applyBorder="1" applyAlignment="1">
      <alignment horizontal="center" vertical="center"/>
    </xf>
    <xf numFmtId="0" fontId="11" fillId="0" borderId="522" xfId="0" applyFont="1" applyBorder="1" applyAlignment="1">
      <alignment horizontal="center"/>
    </xf>
    <xf numFmtId="2" fontId="7" fillId="0" borderId="523" xfId="4" applyNumberFormat="1" applyFont="1" applyBorder="1" applyAlignment="1">
      <alignment horizontal="center"/>
    </xf>
    <xf numFmtId="0" fontId="11" fillId="4" borderId="522" xfId="0" applyFont="1" applyFill="1" applyBorder="1" applyAlignment="1">
      <alignment horizontal="center"/>
    </xf>
    <xf numFmtId="168" fontId="7" fillId="4" borderId="523" xfId="1" applyNumberFormat="1" applyFont="1" applyFill="1" applyBorder="1" applyAlignment="1">
      <alignment horizontal="center"/>
    </xf>
    <xf numFmtId="0" fontId="11" fillId="5" borderId="522" xfId="0" applyFont="1" applyFill="1" applyBorder="1" applyAlignment="1">
      <alignment horizontal="center"/>
    </xf>
    <xf numFmtId="169" fontId="7" fillId="5" borderId="523" xfId="4" applyNumberFormat="1" applyFont="1" applyFill="1" applyBorder="1" applyAlignment="1">
      <alignment horizontal="center"/>
    </xf>
    <xf numFmtId="0" fontId="12" fillId="0" borderId="522" xfId="0" applyFont="1" applyBorder="1" applyAlignment="1">
      <alignment horizontal="center"/>
    </xf>
    <xf numFmtId="169" fontId="13" fillId="0" borderId="523" xfId="4" applyNumberFormat="1" applyFont="1" applyBorder="1" applyAlignment="1">
      <alignment horizontal="center"/>
    </xf>
    <xf numFmtId="168" fontId="7" fillId="4" borderId="523" xfId="1" applyNumberFormat="1" applyFont="1" applyFill="1" applyBorder="1" applyAlignment="1">
      <alignment horizontal="right"/>
    </xf>
    <xf numFmtId="1" fontId="7" fillId="0" borderId="524" xfId="4" applyNumberFormat="1" applyFont="1" applyBorder="1" applyAlignment="1">
      <alignment horizontal="center"/>
    </xf>
    <xf numFmtId="10" fontId="9" fillId="0" borderId="525" xfId="5" applyFont="1" applyBorder="1" applyAlignment="1">
      <alignment horizontal="center" vertical="center"/>
    </xf>
    <xf numFmtId="0" fontId="11" fillId="0" borderId="526" xfId="0" applyFont="1" applyBorder="1" applyAlignment="1">
      <alignment horizontal="center"/>
    </xf>
    <xf numFmtId="2" fontId="7" fillId="0" borderId="527" xfId="4" applyNumberFormat="1" applyFont="1" applyBorder="1" applyAlignment="1">
      <alignment horizontal="center"/>
    </xf>
    <xf numFmtId="0" fontId="11" fillId="4" borderId="526" xfId="0" applyFont="1" applyFill="1" applyBorder="1" applyAlignment="1">
      <alignment horizontal="center"/>
    </xf>
    <xf numFmtId="168" fontId="7" fillId="4" borderId="527" xfId="1" applyNumberFormat="1" applyFont="1" applyFill="1" applyBorder="1" applyAlignment="1">
      <alignment horizontal="center"/>
    </xf>
    <xf numFmtId="0" fontId="11" fillId="5" borderId="526" xfId="0" applyFont="1" applyFill="1" applyBorder="1" applyAlignment="1">
      <alignment horizontal="center"/>
    </xf>
    <xf numFmtId="169" fontId="7" fillId="5" borderId="527" xfId="4" applyNumberFormat="1" applyFont="1" applyFill="1" applyBorder="1" applyAlignment="1">
      <alignment horizontal="center"/>
    </xf>
    <xf numFmtId="0" fontId="12" fillId="0" borderId="526" xfId="0" applyFont="1" applyBorder="1" applyAlignment="1">
      <alignment horizontal="center"/>
    </xf>
    <xf numFmtId="169" fontId="13" fillId="0" borderId="527" xfId="4" applyNumberFormat="1" applyFont="1" applyBorder="1" applyAlignment="1">
      <alignment horizontal="center"/>
    </xf>
    <xf numFmtId="168" fontId="7" fillId="4" borderId="527" xfId="1" applyNumberFormat="1" applyFont="1" applyFill="1" applyBorder="1" applyAlignment="1">
      <alignment horizontal="right"/>
    </xf>
    <xf numFmtId="1" fontId="7" fillId="0" borderId="528" xfId="4" applyNumberFormat="1" applyFont="1" applyBorder="1" applyAlignment="1">
      <alignment horizontal="center"/>
    </xf>
    <xf numFmtId="10" fontId="9" fillId="0" borderId="529" xfId="5" applyFont="1" applyBorder="1" applyAlignment="1">
      <alignment horizontal="center" vertical="center"/>
    </xf>
    <xf numFmtId="0" fontId="11" fillId="0" borderId="530" xfId="0" applyFont="1" applyBorder="1" applyAlignment="1">
      <alignment horizontal="center"/>
    </xf>
    <xf numFmtId="2" fontId="7" fillId="0" borderId="531" xfId="4" applyNumberFormat="1" applyFont="1" applyBorder="1" applyAlignment="1">
      <alignment horizontal="center"/>
    </xf>
    <xf numFmtId="0" fontId="11" fillId="4" borderId="530" xfId="0" applyFont="1" applyFill="1" applyBorder="1" applyAlignment="1">
      <alignment horizontal="center"/>
    </xf>
    <xf numFmtId="168" fontId="7" fillId="4" borderId="531" xfId="1" applyNumberFormat="1" applyFont="1" applyFill="1" applyBorder="1" applyAlignment="1">
      <alignment horizontal="center"/>
    </xf>
    <xf numFmtId="0" fontId="11" fillId="5" borderId="530" xfId="0" applyFont="1" applyFill="1" applyBorder="1" applyAlignment="1">
      <alignment horizontal="center"/>
    </xf>
    <xf numFmtId="169" fontId="7" fillId="5" borderId="531" xfId="4" applyNumberFormat="1" applyFont="1" applyFill="1" applyBorder="1" applyAlignment="1">
      <alignment horizontal="center"/>
    </xf>
    <xf numFmtId="0" fontId="12" fillId="0" borderId="530" xfId="0" applyFont="1" applyBorder="1" applyAlignment="1">
      <alignment horizontal="center"/>
    </xf>
    <xf numFmtId="169" fontId="13" fillId="0" borderId="531" xfId="4" applyNumberFormat="1" applyFont="1" applyBorder="1" applyAlignment="1">
      <alignment horizontal="center"/>
    </xf>
    <xf numFmtId="168" fontId="7" fillId="4" borderId="531" xfId="1" applyNumberFormat="1" applyFont="1" applyFill="1" applyBorder="1" applyAlignment="1">
      <alignment horizontal="right"/>
    </xf>
    <xf numFmtId="1" fontId="7" fillId="0" borderId="532" xfId="4" applyNumberFormat="1" applyFont="1" applyBorder="1" applyAlignment="1">
      <alignment horizontal="center"/>
    </xf>
    <xf numFmtId="10" fontId="9" fillId="0" borderId="533" xfId="5" applyFont="1" applyBorder="1" applyAlignment="1">
      <alignment horizontal="center" vertical="center"/>
    </xf>
    <xf numFmtId="0" fontId="11" fillId="0" borderId="534" xfId="0" applyFont="1" applyBorder="1" applyAlignment="1">
      <alignment horizontal="center"/>
    </xf>
    <xf numFmtId="2" fontId="7" fillId="0" borderId="535" xfId="4" applyNumberFormat="1" applyFont="1" applyBorder="1" applyAlignment="1">
      <alignment horizontal="center"/>
    </xf>
    <xf numFmtId="0" fontId="11" fillId="4" borderId="534" xfId="0" applyFont="1" applyFill="1" applyBorder="1" applyAlignment="1">
      <alignment horizontal="center"/>
    </xf>
    <xf numFmtId="168" fontId="7" fillId="4" borderId="535" xfId="1" applyNumberFormat="1" applyFont="1" applyFill="1" applyBorder="1" applyAlignment="1">
      <alignment horizontal="center"/>
    </xf>
    <xf numFmtId="0" fontId="11" fillId="5" borderId="534" xfId="0" applyFont="1" applyFill="1" applyBorder="1" applyAlignment="1">
      <alignment horizontal="center"/>
    </xf>
    <xf numFmtId="169" fontId="7" fillId="5" borderId="535" xfId="4" applyNumberFormat="1" applyFont="1" applyFill="1" applyBorder="1" applyAlignment="1">
      <alignment horizontal="center"/>
    </xf>
    <xf numFmtId="0" fontId="12" fillId="0" borderId="534" xfId="0" applyFont="1" applyBorder="1" applyAlignment="1">
      <alignment horizontal="center"/>
    </xf>
    <xf numFmtId="169" fontId="13" fillId="0" borderId="535" xfId="4" applyNumberFormat="1" applyFont="1" applyBorder="1" applyAlignment="1">
      <alignment horizontal="center"/>
    </xf>
    <xf numFmtId="168" fontId="7" fillId="4" borderId="535" xfId="1" applyNumberFormat="1" applyFont="1" applyFill="1" applyBorder="1" applyAlignment="1">
      <alignment horizontal="right"/>
    </xf>
    <xf numFmtId="1" fontId="7" fillId="0" borderId="536" xfId="4" applyNumberFormat="1" applyFont="1" applyBorder="1" applyAlignment="1">
      <alignment horizontal="center"/>
    </xf>
    <xf numFmtId="10" fontId="9" fillId="0" borderId="537" xfId="5" applyFont="1" applyBorder="1" applyAlignment="1">
      <alignment horizontal="center" vertical="center"/>
    </xf>
    <xf numFmtId="0" fontId="11" fillId="0" borderId="538" xfId="0" applyFont="1" applyBorder="1" applyAlignment="1">
      <alignment horizontal="center"/>
    </xf>
    <xf numFmtId="2" fontId="7" fillId="0" borderId="539" xfId="4" applyNumberFormat="1" applyFont="1" applyBorder="1" applyAlignment="1">
      <alignment horizontal="center"/>
    </xf>
    <xf numFmtId="0" fontId="11" fillId="4" borderId="538" xfId="0" applyFont="1" applyFill="1" applyBorder="1" applyAlignment="1">
      <alignment horizontal="center"/>
    </xf>
    <xf numFmtId="168" fontId="7" fillId="4" borderId="539" xfId="1" applyNumberFormat="1" applyFont="1" applyFill="1" applyBorder="1" applyAlignment="1">
      <alignment horizontal="center"/>
    </xf>
    <xf numFmtId="0" fontId="11" fillId="5" borderId="538" xfId="0" applyFont="1" applyFill="1" applyBorder="1" applyAlignment="1">
      <alignment horizontal="center"/>
    </xf>
    <xf numFmtId="169" fontId="7" fillId="5" borderId="539" xfId="4" applyNumberFormat="1" applyFont="1" applyFill="1" applyBorder="1" applyAlignment="1">
      <alignment horizontal="center"/>
    </xf>
    <xf numFmtId="0" fontId="12" fillId="0" borderId="538" xfId="0" applyFont="1" applyBorder="1" applyAlignment="1">
      <alignment horizontal="center"/>
    </xf>
    <xf numFmtId="169" fontId="13" fillId="0" borderId="539" xfId="4" applyNumberFormat="1" applyFont="1" applyBorder="1" applyAlignment="1">
      <alignment horizontal="center"/>
    </xf>
    <xf numFmtId="168" fontId="7" fillId="4" borderId="539" xfId="1" applyNumberFormat="1" applyFont="1" applyFill="1" applyBorder="1" applyAlignment="1">
      <alignment horizontal="right"/>
    </xf>
    <xf numFmtId="1" fontId="7" fillId="0" borderId="540" xfId="4" applyNumberFormat="1" applyFont="1" applyBorder="1" applyAlignment="1">
      <alignment horizontal="center"/>
    </xf>
    <xf numFmtId="10" fontId="9" fillId="0" borderId="541" xfId="5" applyFont="1" applyBorder="1" applyAlignment="1">
      <alignment horizontal="center" vertical="center"/>
    </xf>
    <xf numFmtId="0" fontId="11" fillId="0" borderId="542" xfId="0" applyFont="1" applyBorder="1" applyAlignment="1">
      <alignment horizontal="center"/>
    </xf>
    <xf numFmtId="2" fontId="7" fillId="0" borderId="543" xfId="4" applyNumberFormat="1" applyFont="1" applyBorder="1" applyAlignment="1">
      <alignment horizontal="center"/>
    </xf>
    <xf numFmtId="0" fontId="11" fillId="4" borderId="542" xfId="0" applyFont="1" applyFill="1" applyBorder="1" applyAlignment="1">
      <alignment horizontal="center"/>
    </xf>
    <xf numFmtId="168" fontId="7" fillId="4" borderId="543" xfId="1" applyNumberFormat="1" applyFont="1" applyFill="1" applyBorder="1" applyAlignment="1">
      <alignment horizontal="center"/>
    </xf>
    <xf numFmtId="0" fontId="11" fillId="5" borderId="542" xfId="0" applyFont="1" applyFill="1" applyBorder="1" applyAlignment="1">
      <alignment horizontal="center"/>
    </xf>
    <xf numFmtId="169" fontId="7" fillId="5" borderId="543" xfId="4" applyNumberFormat="1" applyFont="1" applyFill="1" applyBorder="1" applyAlignment="1">
      <alignment horizontal="center"/>
    </xf>
    <xf numFmtId="0" fontId="12" fillId="0" borderId="542" xfId="0" applyFont="1" applyBorder="1" applyAlignment="1">
      <alignment horizontal="center"/>
    </xf>
    <xf numFmtId="169" fontId="13" fillId="0" borderId="543" xfId="4" applyNumberFormat="1" applyFont="1" applyBorder="1" applyAlignment="1">
      <alignment horizontal="center"/>
    </xf>
    <xf numFmtId="168" fontId="7" fillId="4" borderId="543" xfId="1" applyNumberFormat="1" applyFont="1" applyFill="1" applyBorder="1" applyAlignment="1">
      <alignment horizontal="right"/>
    </xf>
    <xf numFmtId="1" fontId="7" fillId="0" borderId="544" xfId="4" applyNumberFormat="1" applyFont="1" applyBorder="1" applyAlignment="1">
      <alignment horizontal="center"/>
    </xf>
    <xf numFmtId="10" fontId="9" fillId="0" borderId="545" xfId="5" applyFont="1" applyBorder="1" applyAlignment="1">
      <alignment horizontal="center" vertical="center"/>
    </xf>
    <xf numFmtId="0" fontId="11" fillId="0" borderId="546" xfId="0" applyFont="1" applyBorder="1" applyAlignment="1">
      <alignment horizontal="center"/>
    </xf>
    <xf numFmtId="2" fontId="7" fillId="0" borderId="547" xfId="4" applyNumberFormat="1" applyFont="1" applyBorder="1" applyAlignment="1">
      <alignment horizontal="center"/>
    </xf>
    <xf numFmtId="0" fontId="11" fillId="4" borderId="546" xfId="0" applyFont="1" applyFill="1" applyBorder="1" applyAlignment="1">
      <alignment horizontal="center"/>
    </xf>
    <xf numFmtId="168" fontId="7" fillId="4" borderId="547" xfId="1" applyNumberFormat="1" applyFont="1" applyFill="1" applyBorder="1" applyAlignment="1">
      <alignment horizontal="center"/>
    </xf>
    <xf numFmtId="0" fontId="11" fillId="5" borderId="546" xfId="0" applyFont="1" applyFill="1" applyBorder="1" applyAlignment="1">
      <alignment horizontal="center"/>
    </xf>
    <xf numFmtId="169" fontId="7" fillId="5" borderId="547" xfId="4" applyNumberFormat="1" applyFont="1" applyFill="1" applyBorder="1" applyAlignment="1">
      <alignment horizontal="center"/>
    </xf>
    <xf numFmtId="0" fontId="12" fillId="0" borderId="546" xfId="0" applyFont="1" applyBorder="1" applyAlignment="1">
      <alignment horizontal="center"/>
    </xf>
    <xf numFmtId="169" fontId="13" fillId="0" borderId="547" xfId="4" applyNumberFormat="1" applyFont="1" applyBorder="1" applyAlignment="1">
      <alignment horizontal="center"/>
    </xf>
    <xf numFmtId="168" fontId="7" fillId="4" borderId="547" xfId="1" applyNumberFormat="1" applyFont="1" applyFill="1" applyBorder="1" applyAlignment="1">
      <alignment horizontal="right"/>
    </xf>
    <xf numFmtId="1" fontId="7" fillId="0" borderId="548" xfId="4" applyNumberFormat="1" applyFont="1" applyBorder="1" applyAlignment="1">
      <alignment horizontal="center"/>
    </xf>
    <xf numFmtId="10" fontId="9" fillId="0" borderId="549" xfId="5" applyFont="1" applyBorder="1" applyAlignment="1">
      <alignment horizontal="center" vertical="center"/>
    </xf>
    <xf numFmtId="0" fontId="11" fillId="0" borderId="550" xfId="0" applyFont="1" applyBorder="1" applyAlignment="1">
      <alignment horizontal="center"/>
    </xf>
    <xf numFmtId="2" fontId="7" fillId="0" borderId="551" xfId="4" applyNumberFormat="1" applyFont="1" applyBorder="1" applyAlignment="1">
      <alignment horizontal="center"/>
    </xf>
    <xf numFmtId="0" fontId="11" fillId="4" borderId="550" xfId="0" applyFont="1" applyFill="1" applyBorder="1" applyAlignment="1">
      <alignment horizontal="center"/>
    </xf>
    <xf numFmtId="168" fontId="7" fillId="4" borderId="551" xfId="1" applyNumberFormat="1" applyFont="1" applyFill="1" applyBorder="1" applyAlignment="1">
      <alignment horizontal="center"/>
    </xf>
    <xf numFmtId="0" fontId="11" fillId="5" borderId="550" xfId="0" applyFont="1" applyFill="1" applyBorder="1" applyAlignment="1">
      <alignment horizontal="center"/>
    </xf>
    <xf numFmtId="169" fontId="7" fillId="5" borderId="551" xfId="4" applyNumberFormat="1" applyFont="1" applyFill="1" applyBorder="1" applyAlignment="1">
      <alignment horizontal="center"/>
    </xf>
    <xf numFmtId="0" fontId="12" fillId="0" borderId="550" xfId="0" applyFont="1" applyBorder="1" applyAlignment="1">
      <alignment horizontal="center"/>
    </xf>
    <xf numFmtId="169" fontId="13" fillId="0" borderId="551" xfId="4" applyNumberFormat="1" applyFont="1" applyBorder="1" applyAlignment="1">
      <alignment horizontal="center"/>
    </xf>
    <xf numFmtId="168" fontId="7" fillId="4" borderId="551" xfId="1" applyNumberFormat="1" applyFont="1" applyFill="1" applyBorder="1" applyAlignment="1">
      <alignment horizontal="right"/>
    </xf>
    <xf numFmtId="1" fontId="7" fillId="0" borderId="552" xfId="4" applyNumberFormat="1" applyFont="1" applyBorder="1" applyAlignment="1">
      <alignment horizontal="center"/>
    </xf>
    <xf numFmtId="10" fontId="9" fillId="0" borderId="553" xfId="5" applyFont="1" applyBorder="1" applyAlignment="1">
      <alignment horizontal="center" vertical="center"/>
    </xf>
    <xf numFmtId="0" fontId="11" fillId="0" borderId="554" xfId="0" applyFont="1" applyBorder="1" applyAlignment="1">
      <alignment horizontal="center"/>
    </xf>
    <xf numFmtId="2" fontId="7" fillId="0" borderId="555" xfId="4" applyNumberFormat="1" applyFont="1" applyBorder="1" applyAlignment="1">
      <alignment horizontal="center"/>
    </xf>
    <xf numFmtId="0" fontId="11" fillId="4" borderId="554" xfId="0" applyFont="1" applyFill="1" applyBorder="1" applyAlignment="1">
      <alignment horizontal="center"/>
    </xf>
    <xf numFmtId="168" fontId="7" fillId="4" borderId="555" xfId="1" applyNumberFormat="1" applyFont="1" applyFill="1" applyBorder="1" applyAlignment="1">
      <alignment horizontal="center"/>
    </xf>
    <xf numFmtId="0" fontId="11" fillId="5" borderId="554" xfId="0" applyFont="1" applyFill="1" applyBorder="1" applyAlignment="1">
      <alignment horizontal="center"/>
    </xf>
    <xf numFmtId="169" fontId="7" fillId="5" borderId="555" xfId="4" applyNumberFormat="1" applyFont="1" applyFill="1" applyBorder="1" applyAlignment="1">
      <alignment horizontal="center"/>
    </xf>
    <xf numFmtId="0" fontId="12" fillId="0" borderId="554" xfId="0" applyFont="1" applyBorder="1" applyAlignment="1">
      <alignment horizontal="center"/>
    </xf>
    <xf numFmtId="169" fontId="13" fillId="0" borderId="555" xfId="4" applyNumberFormat="1" applyFont="1" applyBorder="1" applyAlignment="1">
      <alignment horizontal="center"/>
    </xf>
    <xf numFmtId="168" fontId="7" fillId="4" borderId="555" xfId="1" applyNumberFormat="1" applyFont="1" applyFill="1" applyBorder="1" applyAlignment="1">
      <alignment horizontal="right"/>
    </xf>
    <xf numFmtId="1" fontId="7" fillId="0" borderId="556" xfId="4" applyNumberFormat="1" applyFont="1" applyBorder="1" applyAlignment="1">
      <alignment horizontal="center"/>
    </xf>
    <xf numFmtId="10" fontId="9" fillId="0" borderId="557" xfId="5" applyFont="1" applyBorder="1" applyAlignment="1">
      <alignment horizontal="center" vertical="center"/>
    </xf>
    <xf numFmtId="0" fontId="11" fillId="0" borderId="558" xfId="0" applyFont="1" applyBorder="1" applyAlignment="1">
      <alignment horizontal="center"/>
    </xf>
    <xf numFmtId="2" fontId="7" fillId="0" borderId="559" xfId="4" applyNumberFormat="1" applyFont="1" applyBorder="1" applyAlignment="1">
      <alignment horizontal="center"/>
    </xf>
    <xf numFmtId="0" fontId="11" fillId="4" borderId="558" xfId="0" applyFont="1" applyFill="1" applyBorder="1" applyAlignment="1">
      <alignment horizontal="center"/>
    </xf>
    <xf numFmtId="168" fontId="7" fillId="4" borderId="559" xfId="1" applyNumberFormat="1" applyFont="1" applyFill="1" applyBorder="1" applyAlignment="1">
      <alignment horizontal="center"/>
    </xf>
    <xf numFmtId="0" fontId="11" fillId="5" borderId="558" xfId="0" applyFont="1" applyFill="1" applyBorder="1" applyAlignment="1">
      <alignment horizontal="center"/>
    </xf>
    <xf numFmtId="169" fontId="7" fillId="5" borderId="559" xfId="4" applyNumberFormat="1" applyFont="1" applyFill="1" applyBorder="1" applyAlignment="1">
      <alignment horizontal="center"/>
    </xf>
    <xf numFmtId="0" fontId="12" fillId="0" borderId="558" xfId="0" applyFont="1" applyBorder="1" applyAlignment="1">
      <alignment horizontal="center"/>
    </xf>
    <xf numFmtId="169" fontId="13" fillId="0" borderId="559" xfId="4" applyNumberFormat="1" applyFont="1" applyBorder="1" applyAlignment="1">
      <alignment horizontal="center"/>
    </xf>
    <xf numFmtId="168" fontId="7" fillId="4" borderId="559" xfId="1" applyNumberFormat="1" applyFont="1" applyFill="1" applyBorder="1" applyAlignment="1">
      <alignment horizontal="right"/>
    </xf>
    <xf numFmtId="1" fontId="7" fillId="0" borderId="560" xfId="4" applyNumberFormat="1" applyFont="1" applyBorder="1" applyAlignment="1">
      <alignment horizontal="center"/>
    </xf>
    <xf numFmtId="10" fontId="9" fillId="0" borderId="561" xfId="5" applyFont="1" applyBorder="1" applyAlignment="1">
      <alignment horizontal="center" vertical="center"/>
    </xf>
    <xf numFmtId="0" fontId="11" fillId="0" borderId="562" xfId="0" applyFont="1" applyBorder="1" applyAlignment="1">
      <alignment horizontal="center"/>
    </xf>
    <xf numFmtId="2" fontId="7" fillId="0" borderId="563" xfId="4" applyNumberFormat="1" applyFont="1" applyBorder="1" applyAlignment="1">
      <alignment horizontal="center"/>
    </xf>
    <xf numFmtId="0" fontId="11" fillId="4" borderId="562" xfId="0" applyFont="1" applyFill="1" applyBorder="1" applyAlignment="1">
      <alignment horizontal="center"/>
    </xf>
    <xf numFmtId="168" fontId="7" fillId="4" borderId="563" xfId="1" applyNumberFormat="1" applyFont="1" applyFill="1" applyBorder="1" applyAlignment="1">
      <alignment horizontal="center"/>
    </xf>
    <xf numFmtId="0" fontId="11" fillId="5" borderId="562" xfId="0" applyFont="1" applyFill="1" applyBorder="1" applyAlignment="1">
      <alignment horizontal="center"/>
    </xf>
    <xf numFmtId="169" fontId="7" fillId="5" borderId="563" xfId="4" applyNumberFormat="1" applyFont="1" applyFill="1" applyBorder="1" applyAlignment="1">
      <alignment horizontal="center"/>
    </xf>
    <xf numFmtId="0" fontId="12" fillId="0" borderId="562" xfId="0" applyFont="1" applyBorder="1" applyAlignment="1">
      <alignment horizontal="center"/>
    </xf>
    <xf numFmtId="169" fontId="13" fillId="0" borderId="563" xfId="4" applyNumberFormat="1" applyFont="1" applyBorder="1" applyAlignment="1">
      <alignment horizontal="center"/>
    </xf>
    <xf numFmtId="168" fontId="7" fillId="4" borderId="563" xfId="1" applyNumberFormat="1" applyFont="1" applyFill="1" applyBorder="1" applyAlignment="1">
      <alignment horizontal="right"/>
    </xf>
    <xf numFmtId="1" fontId="7" fillId="0" borderId="564" xfId="4" applyNumberFormat="1" applyFont="1" applyBorder="1" applyAlignment="1">
      <alignment horizontal="center"/>
    </xf>
    <xf numFmtId="10" fontId="9" fillId="0" borderId="565" xfId="5" applyFont="1" applyBorder="1" applyAlignment="1">
      <alignment horizontal="center" vertical="center"/>
    </xf>
    <xf numFmtId="0" fontId="11" fillId="0" borderId="566" xfId="0" applyFont="1" applyBorder="1" applyAlignment="1">
      <alignment horizontal="center"/>
    </xf>
    <xf numFmtId="2" fontId="7" fillId="0" borderId="567" xfId="4" applyNumberFormat="1" applyFont="1" applyBorder="1" applyAlignment="1">
      <alignment horizontal="center"/>
    </xf>
    <xf numFmtId="0" fontId="11" fillId="4" borderId="566" xfId="0" applyFont="1" applyFill="1" applyBorder="1" applyAlignment="1">
      <alignment horizontal="center"/>
    </xf>
    <xf numFmtId="168" fontId="7" fillId="4" borderId="567" xfId="1" applyNumberFormat="1" applyFont="1" applyFill="1" applyBorder="1" applyAlignment="1">
      <alignment horizontal="center"/>
    </xf>
    <xf numFmtId="0" fontId="11" fillId="5" borderId="566" xfId="0" applyFont="1" applyFill="1" applyBorder="1" applyAlignment="1">
      <alignment horizontal="center"/>
    </xf>
    <xf numFmtId="169" fontId="7" fillId="5" borderId="567" xfId="4" applyNumberFormat="1" applyFont="1" applyFill="1" applyBorder="1" applyAlignment="1">
      <alignment horizontal="center"/>
    </xf>
    <xf numFmtId="0" fontId="12" fillId="0" borderId="566" xfId="0" applyFont="1" applyBorder="1" applyAlignment="1">
      <alignment horizontal="center"/>
    </xf>
    <xf numFmtId="169" fontId="13" fillId="0" borderId="567" xfId="4" applyNumberFormat="1" applyFont="1" applyBorder="1" applyAlignment="1">
      <alignment horizontal="center"/>
    </xf>
    <xf numFmtId="168" fontId="7" fillId="4" borderId="567" xfId="1" applyNumberFormat="1" applyFont="1" applyFill="1" applyBorder="1" applyAlignment="1">
      <alignment horizontal="right"/>
    </xf>
    <xf numFmtId="1" fontId="7" fillId="0" borderId="568" xfId="4" applyNumberFormat="1" applyFont="1" applyBorder="1" applyAlignment="1">
      <alignment horizontal="center"/>
    </xf>
    <xf numFmtId="10" fontId="9" fillId="0" borderId="569" xfId="5" applyFont="1" applyBorder="1" applyAlignment="1">
      <alignment horizontal="center" vertical="center"/>
    </xf>
    <xf numFmtId="0" fontId="11" fillId="0" borderId="570" xfId="0" applyFont="1" applyBorder="1" applyAlignment="1">
      <alignment horizontal="center"/>
    </xf>
    <xf numFmtId="2" fontId="7" fillId="0" borderId="571" xfId="4" applyNumberFormat="1" applyFont="1" applyBorder="1" applyAlignment="1">
      <alignment horizontal="center"/>
    </xf>
    <xf numFmtId="0" fontId="11" fillId="4" borderId="570" xfId="0" applyFont="1" applyFill="1" applyBorder="1" applyAlignment="1">
      <alignment horizontal="center"/>
    </xf>
    <xf numFmtId="168" fontId="7" fillId="4" borderId="571" xfId="1" applyNumberFormat="1" applyFont="1" applyFill="1" applyBorder="1" applyAlignment="1">
      <alignment horizontal="center"/>
    </xf>
    <xf numFmtId="0" fontId="11" fillId="5" borderId="570" xfId="0" applyFont="1" applyFill="1" applyBorder="1" applyAlignment="1">
      <alignment horizontal="center"/>
    </xf>
    <xf numFmtId="169" fontId="7" fillId="5" borderId="571" xfId="4" applyNumberFormat="1" applyFont="1" applyFill="1" applyBorder="1" applyAlignment="1">
      <alignment horizontal="center"/>
    </xf>
    <xf numFmtId="0" fontId="12" fillId="0" borderId="570" xfId="0" applyFont="1" applyBorder="1" applyAlignment="1">
      <alignment horizontal="center"/>
    </xf>
    <xf numFmtId="169" fontId="13" fillId="0" borderId="571" xfId="4" applyNumberFormat="1" applyFont="1" applyBorder="1" applyAlignment="1">
      <alignment horizontal="center"/>
    </xf>
    <xf numFmtId="168" fontId="7" fillId="4" borderId="571" xfId="1" applyNumberFormat="1" applyFont="1" applyFill="1" applyBorder="1" applyAlignment="1">
      <alignment horizontal="right"/>
    </xf>
    <xf numFmtId="1" fontId="7" fillId="0" borderId="572" xfId="4" applyNumberFormat="1" applyFont="1" applyBorder="1" applyAlignment="1">
      <alignment horizontal="center"/>
    </xf>
    <xf numFmtId="10" fontId="9" fillId="0" borderId="573" xfId="5" applyFont="1" applyBorder="1" applyAlignment="1">
      <alignment horizontal="center" vertical="center"/>
    </xf>
    <xf numFmtId="0" fontId="11" fillId="0" borderId="574" xfId="0" applyFont="1" applyBorder="1" applyAlignment="1">
      <alignment horizontal="center"/>
    </xf>
    <xf numFmtId="2" fontId="7" fillId="0" borderId="575" xfId="4" applyNumberFormat="1" applyFont="1" applyBorder="1" applyAlignment="1">
      <alignment horizontal="center"/>
    </xf>
    <xf numFmtId="0" fontId="11" fillId="4" borderId="574" xfId="0" applyFont="1" applyFill="1" applyBorder="1" applyAlignment="1">
      <alignment horizontal="center"/>
    </xf>
    <xf numFmtId="168" fontId="7" fillId="4" borderId="575" xfId="1" applyNumberFormat="1" applyFont="1" applyFill="1" applyBorder="1" applyAlignment="1">
      <alignment horizontal="center"/>
    </xf>
    <xf numFmtId="0" fontId="11" fillId="5" borderId="574" xfId="0" applyFont="1" applyFill="1" applyBorder="1" applyAlignment="1">
      <alignment horizontal="center"/>
    </xf>
    <xf numFmtId="169" fontId="7" fillId="5" borderId="575" xfId="4" applyNumberFormat="1" applyFont="1" applyFill="1" applyBorder="1" applyAlignment="1">
      <alignment horizontal="center"/>
    </xf>
    <xf numFmtId="0" fontId="12" fillId="0" borderId="574" xfId="0" applyFont="1" applyBorder="1" applyAlignment="1">
      <alignment horizontal="center"/>
    </xf>
    <xf numFmtId="169" fontId="13" fillId="0" borderId="575" xfId="4" applyNumberFormat="1" applyFont="1" applyBorder="1" applyAlignment="1">
      <alignment horizontal="center"/>
    </xf>
    <xf numFmtId="168" fontId="7" fillId="4" borderId="575" xfId="1" applyNumberFormat="1" applyFont="1" applyFill="1" applyBorder="1" applyAlignment="1">
      <alignment horizontal="right"/>
    </xf>
    <xf numFmtId="1" fontId="7" fillId="0" borderId="576" xfId="4" applyNumberFormat="1" applyFont="1" applyBorder="1" applyAlignment="1">
      <alignment horizontal="center"/>
    </xf>
    <xf numFmtId="10" fontId="9" fillId="0" borderId="577" xfId="5" applyFont="1" applyBorder="1" applyAlignment="1">
      <alignment horizontal="center" vertical="center"/>
    </xf>
    <xf numFmtId="0" fontId="11" fillId="0" borderId="578" xfId="0" applyFont="1" applyBorder="1" applyAlignment="1">
      <alignment horizontal="center"/>
    </xf>
    <xf numFmtId="2" fontId="7" fillId="0" borderId="579" xfId="4" applyNumberFormat="1" applyFont="1" applyBorder="1" applyAlignment="1">
      <alignment horizontal="center"/>
    </xf>
    <xf numFmtId="0" fontId="11" fillId="4" borderId="578" xfId="0" applyFont="1" applyFill="1" applyBorder="1" applyAlignment="1">
      <alignment horizontal="center"/>
    </xf>
    <xf numFmtId="168" fontId="7" fillId="4" borderId="579" xfId="1" applyNumberFormat="1" applyFont="1" applyFill="1" applyBorder="1" applyAlignment="1">
      <alignment horizontal="center"/>
    </xf>
    <xf numFmtId="0" fontId="11" fillId="5" borderId="578" xfId="0" applyFont="1" applyFill="1" applyBorder="1" applyAlignment="1">
      <alignment horizontal="center"/>
    </xf>
    <xf numFmtId="169" fontId="7" fillId="5" borderId="579" xfId="4" applyNumberFormat="1" applyFont="1" applyFill="1" applyBorder="1" applyAlignment="1">
      <alignment horizontal="center"/>
    </xf>
    <xf numFmtId="0" fontId="12" fillId="0" borderId="578" xfId="0" applyFont="1" applyBorder="1" applyAlignment="1">
      <alignment horizontal="center"/>
    </xf>
    <xf numFmtId="169" fontId="13" fillId="0" borderId="579" xfId="4" applyNumberFormat="1" applyFont="1" applyBorder="1" applyAlignment="1">
      <alignment horizontal="center"/>
    </xf>
    <xf numFmtId="168" fontId="7" fillId="4" borderId="579" xfId="1" applyNumberFormat="1" applyFont="1" applyFill="1" applyBorder="1" applyAlignment="1">
      <alignment horizontal="right"/>
    </xf>
    <xf numFmtId="1" fontId="7" fillId="0" borderId="580" xfId="4" applyNumberFormat="1" applyFont="1" applyBorder="1" applyAlignment="1">
      <alignment horizontal="center"/>
    </xf>
    <xf numFmtId="10" fontId="9" fillId="0" borderId="581" xfId="5" applyFont="1" applyBorder="1" applyAlignment="1">
      <alignment horizontal="center" vertical="center"/>
    </xf>
    <xf numFmtId="0" fontId="11" fillId="0" borderId="582" xfId="0" applyFont="1" applyBorder="1" applyAlignment="1">
      <alignment horizontal="center"/>
    </xf>
    <xf numFmtId="2" fontId="7" fillId="0" borderId="583" xfId="4" applyNumberFormat="1" applyFont="1" applyBorder="1" applyAlignment="1">
      <alignment horizontal="center"/>
    </xf>
    <xf numFmtId="0" fontId="11" fillId="4" borderId="582" xfId="0" applyFont="1" applyFill="1" applyBorder="1" applyAlignment="1">
      <alignment horizontal="center"/>
    </xf>
    <xf numFmtId="168" fontId="7" fillId="4" borderId="583" xfId="1" applyNumberFormat="1" applyFont="1" applyFill="1" applyBorder="1" applyAlignment="1">
      <alignment horizontal="center"/>
    </xf>
    <xf numFmtId="0" fontId="11" fillId="5" borderId="582" xfId="0" applyFont="1" applyFill="1" applyBorder="1" applyAlignment="1">
      <alignment horizontal="center"/>
    </xf>
    <xf numFmtId="169" fontId="7" fillId="5" borderId="583" xfId="4" applyNumberFormat="1" applyFont="1" applyFill="1" applyBorder="1" applyAlignment="1">
      <alignment horizontal="center"/>
    </xf>
    <xf numFmtId="0" fontId="12" fillId="0" borderId="582" xfId="0" applyFont="1" applyBorder="1" applyAlignment="1">
      <alignment horizontal="center"/>
    </xf>
    <xf numFmtId="169" fontId="13" fillId="0" borderId="583" xfId="4" applyNumberFormat="1" applyFont="1" applyBorder="1" applyAlignment="1">
      <alignment horizontal="center"/>
    </xf>
    <xf numFmtId="168" fontId="7" fillId="7" borderId="583" xfId="1" applyNumberFormat="1" applyFont="1" applyFill="1" applyBorder="1" applyAlignment="1">
      <alignment horizontal="right"/>
    </xf>
    <xf numFmtId="168" fontId="7" fillId="4" borderId="583" xfId="1" applyNumberFormat="1" applyFont="1" applyFill="1" applyBorder="1" applyAlignment="1">
      <alignment horizontal="right"/>
    </xf>
    <xf numFmtId="1" fontId="7" fillId="0" borderId="584" xfId="4" applyNumberFormat="1" applyFont="1" applyBorder="1" applyAlignment="1">
      <alignment horizontal="center"/>
    </xf>
    <xf numFmtId="10" fontId="9" fillId="0" borderId="585" xfId="5" applyFont="1" applyBorder="1" applyAlignment="1">
      <alignment horizontal="center" vertical="center"/>
    </xf>
    <xf numFmtId="0" fontId="11" fillId="0" borderId="586" xfId="0" applyFont="1" applyBorder="1" applyAlignment="1">
      <alignment horizontal="center"/>
    </xf>
    <xf numFmtId="2" fontId="7" fillId="0" borderId="587" xfId="4" applyNumberFormat="1" applyFont="1" applyBorder="1" applyAlignment="1">
      <alignment horizontal="center"/>
    </xf>
    <xf numFmtId="0" fontId="11" fillId="4" borderId="586" xfId="0" applyFont="1" applyFill="1" applyBorder="1" applyAlignment="1">
      <alignment horizontal="center"/>
    </xf>
    <xf numFmtId="168" fontId="7" fillId="4" borderId="587" xfId="1" applyNumberFormat="1" applyFont="1" applyFill="1" applyBorder="1" applyAlignment="1">
      <alignment horizontal="center"/>
    </xf>
    <xf numFmtId="0" fontId="11" fillId="5" borderId="586" xfId="0" applyFont="1" applyFill="1" applyBorder="1" applyAlignment="1">
      <alignment horizontal="center"/>
    </xf>
    <xf numFmtId="169" fontId="7" fillId="5" borderId="587" xfId="4" applyNumberFormat="1" applyFont="1" applyFill="1" applyBorder="1" applyAlignment="1">
      <alignment horizontal="center"/>
    </xf>
    <xf numFmtId="0" fontId="12" fillId="0" borderId="586" xfId="0" applyFont="1" applyBorder="1" applyAlignment="1">
      <alignment horizontal="center"/>
    </xf>
    <xf numFmtId="169" fontId="13" fillId="0" borderId="587" xfId="4" applyNumberFormat="1" applyFont="1" applyBorder="1" applyAlignment="1">
      <alignment horizontal="center"/>
    </xf>
    <xf numFmtId="168" fontId="7" fillId="4" borderId="587" xfId="1" applyNumberFormat="1" applyFont="1" applyFill="1" applyBorder="1" applyAlignment="1">
      <alignment horizontal="right"/>
    </xf>
    <xf numFmtId="1" fontId="7" fillId="0" borderId="588" xfId="4" applyNumberFormat="1" applyFont="1" applyBorder="1" applyAlignment="1">
      <alignment horizontal="center"/>
    </xf>
    <xf numFmtId="10" fontId="9" fillId="0" borderId="589" xfId="5" applyFont="1" applyBorder="1" applyAlignment="1">
      <alignment horizontal="center" vertical="center"/>
    </xf>
    <xf numFmtId="0" fontId="11" fillId="0" borderId="590" xfId="0" applyFont="1" applyBorder="1" applyAlignment="1">
      <alignment horizontal="center"/>
    </xf>
    <xf numFmtId="2" fontId="7" fillId="0" borderId="591" xfId="4" applyNumberFormat="1" applyFont="1" applyBorder="1" applyAlignment="1">
      <alignment horizontal="center"/>
    </xf>
    <xf numFmtId="0" fontId="11" fillId="4" borderId="590" xfId="0" applyFont="1" applyFill="1" applyBorder="1" applyAlignment="1">
      <alignment horizontal="center"/>
    </xf>
    <xf numFmtId="168" fontId="7" fillId="4" borderId="591" xfId="1" applyNumberFormat="1" applyFont="1" applyFill="1" applyBorder="1" applyAlignment="1">
      <alignment horizontal="center"/>
    </xf>
    <xf numFmtId="0" fontId="11" fillId="5" borderId="590" xfId="0" applyFont="1" applyFill="1" applyBorder="1" applyAlignment="1">
      <alignment horizontal="center"/>
    </xf>
    <xf numFmtId="169" fontId="7" fillId="5" borderId="591" xfId="4" applyNumberFormat="1" applyFont="1" applyFill="1" applyBorder="1" applyAlignment="1">
      <alignment horizontal="center"/>
    </xf>
    <xf numFmtId="0" fontId="12" fillId="0" borderId="590" xfId="0" applyFont="1" applyBorder="1" applyAlignment="1">
      <alignment horizontal="center"/>
    </xf>
    <xf numFmtId="169" fontId="13" fillId="0" borderId="591" xfId="4" applyNumberFormat="1" applyFont="1" applyBorder="1" applyAlignment="1">
      <alignment horizontal="center"/>
    </xf>
    <xf numFmtId="168" fontId="7" fillId="4" borderId="591" xfId="1" applyNumberFormat="1" applyFont="1" applyFill="1" applyBorder="1" applyAlignment="1">
      <alignment horizontal="right"/>
    </xf>
    <xf numFmtId="1" fontId="7" fillId="0" borderId="592" xfId="4" applyNumberFormat="1" applyFont="1" applyBorder="1" applyAlignment="1">
      <alignment horizontal="center"/>
    </xf>
    <xf numFmtId="10" fontId="9" fillId="0" borderId="593" xfId="5" applyFont="1" applyBorder="1" applyAlignment="1">
      <alignment horizontal="center" vertical="center"/>
    </xf>
    <xf numFmtId="0" fontId="11" fillId="0" borderId="594" xfId="0" applyFont="1" applyBorder="1" applyAlignment="1">
      <alignment horizontal="center"/>
    </xf>
    <xf numFmtId="2" fontId="7" fillId="0" borderId="595" xfId="4" applyNumberFormat="1" applyFont="1" applyBorder="1" applyAlignment="1">
      <alignment horizontal="center"/>
    </xf>
    <xf numFmtId="0" fontId="11" fillId="4" borderId="594" xfId="0" applyFont="1" applyFill="1" applyBorder="1" applyAlignment="1">
      <alignment horizontal="center"/>
    </xf>
    <xf numFmtId="168" fontId="7" fillId="4" borderId="595" xfId="1" applyNumberFormat="1" applyFont="1" applyFill="1" applyBorder="1" applyAlignment="1">
      <alignment horizontal="center"/>
    </xf>
    <xf numFmtId="0" fontId="11" fillId="5" borderId="594" xfId="0" applyFont="1" applyFill="1" applyBorder="1" applyAlignment="1">
      <alignment horizontal="center"/>
    </xf>
    <xf numFmtId="169" fontId="7" fillId="5" borderId="595" xfId="4" applyNumberFormat="1" applyFont="1" applyFill="1" applyBorder="1" applyAlignment="1">
      <alignment horizontal="center"/>
    </xf>
    <xf numFmtId="0" fontId="12" fillId="0" borderId="594" xfId="0" applyFont="1" applyBorder="1" applyAlignment="1">
      <alignment horizontal="center"/>
    </xf>
    <xf numFmtId="169" fontId="13" fillId="0" borderId="595" xfId="4" applyNumberFormat="1" applyFont="1" applyBorder="1" applyAlignment="1">
      <alignment horizontal="center"/>
    </xf>
    <xf numFmtId="168" fontId="7" fillId="7" borderId="595" xfId="1" applyNumberFormat="1" applyFont="1" applyFill="1" applyBorder="1" applyAlignment="1">
      <alignment horizontal="right"/>
    </xf>
    <xf numFmtId="168" fontId="7" fillId="4" borderId="595" xfId="1" applyNumberFormat="1" applyFont="1" applyFill="1" applyBorder="1" applyAlignment="1">
      <alignment horizontal="right"/>
    </xf>
    <xf numFmtId="1" fontId="7" fillId="0" borderId="596" xfId="4" applyNumberFormat="1" applyFont="1" applyBorder="1" applyAlignment="1">
      <alignment horizontal="center"/>
    </xf>
    <xf numFmtId="10" fontId="9" fillId="0" borderId="597" xfId="5" applyFont="1" applyBorder="1" applyAlignment="1">
      <alignment horizontal="center" vertical="center"/>
    </xf>
    <xf numFmtId="0" fontId="11" fillId="0" borderId="598" xfId="0" applyFont="1" applyBorder="1" applyAlignment="1">
      <alignment horizontal="center"/>
    </xf>
    <xf numFmtId="2" fontId="7" fillId="0" borderId="599" xfId="4" applyNumberFormat="1" applyFont="1" applyBorder="1" applyAlignment="1">
      <alignment horizontal="center"/>
    </xf>
    <xf numFmtId="0" fontId="11" fillId="4" borderId="598" xfId="0" applyFont="1" applyFill="1" applyBorder="1" applyAlignment="1">
      <alignment horizontal="center"/>
    </xf>
    <xf numFmtId="168" fontId="7" fillId="4" borderId="599" xfId="1" applyNumberFormat="1" applyFont="1" applyFill="1" applyBorder="1" applyAlignment="1">
      <alignment horizontal="center"/>
    </xf>
    <xf numFmtId="0" fontId="11" fillId="5" borderId="598" xfId="0" applyFont="1" applyFill="1" applyBorder="1" applyAlignment="1">
      <alignment horizontal="center"/>
    </xf>
    <xf numFmtId="169" fontId="7" fillId="5" borderId="599" xfId="4" applyNumberFormat="1" applyFont="1" applyFill="1" applyBorder="1" applyAlignment="1">
      <alignment horizontal="center"/>
    </xf>
    <xf numFmtId="0" fontId="12" fillId="0" borderId="598" xfId="0" applyFont="1" applyBorder="1" applyAlignment="1">
      <alignment horizontal="center"/>
    </xf>
    <xf numFmtId="169" fontId="13" fillId="0" borderId="599" xfId="4" applyNumberFormat="1" applyFont="1" applyBorder="1" applyAlignment="1">
      <alignment horizontal="center"/>
    </xf>
    <xf numFmtId="168" fontId="7" fillId="4" borderId="599" xfId="1" applyNumberFormat="1" applyFont="1" applyFill="1" applyBorder="1" applyAlignment="1">
      <alignment horizontal="right"/>
    </xf>
    <xf numFmtId="1" fontId="7" fillId="0" borderId="600" xfId="4" applyNumberFormat="1" applyFont="1" applyBorder="1" applyAlignment="1">
      <alignment horizontal="center"/>
    </xf>
    <xf numFmtId="10" fontId="9" fillId="0" borderId="601" xfId="5" applyFont="1" applyBorder="1" applyAlignment="1">
      <alignment horizontal="center" vertical="center"/>
    </xf>
    <xf numFmtId="0" fontId="11" fillId="0" borderId="602" xfId="0" applyFont="1" applyBorder="1" applyAlignment="1">
      <alignment horizontal="center"/>
    </xf>
    <xf numFmtId="2" fontId="7" fillId="0" borderId="603" xfId="4" applyNumberFormat="1" applyFont="1" applyBorder="1" applyAlignment="1">
      <alignment horizontal="center"/>
    </xf>
    <xf numFmtId="0" fontId="11" fillId="4" borderId="602" xfId="0" applyFont="1" applyFill="1" applyBorder="1" applyAlignment="1">
      <alignment horizontal="center"/>
    </xf>
    <xf numFmtId="168" fontId="7" fillId="4" borderId="603" xfId="1" applyNumberFormat="1" applyFont="1" applyFill="1" applyBorder="1" applyAlignment="1">
      <alignment horizontal="center"/>
    </xf>
    <xf numFmtId="0" fontId="11" fillId="5" borderId="602" xfId="0" applyFont="1" applyFill="1" applyBorder="1" applyAlignment="1">
      <alignment horizontal="center"/>
    </xf>
    <xf numFmtId="169" fontId="7" fillId="5" borderId="603" xfId="4" applyNumberFormat="1" applyFont="1" applyFill="1" applyBorder="1" applyAlignment="1">
      <alignment horizontal="center"/>
    </xf>
    <xf numFmtId="0" fontId="12" fillId="0" borderId="602" xfId="0" applyFont="1" applyBorder="1" applyAlignment="1">
      <alignment horizontal="center"/>
    </xf>
    <xf numFmtId="169" fontId="13" fillId="0" borderId="603" xfId="4" applyNumberFormat="1" applyFont="1" applyBorder="1" applyAlignment="1">
      <alignment horizontal="center"/>
    </xf>
    <xf numFmtId="168" fontId="7" fillId="7" borderId="603" xfId="1" applyNumberFormat="1" applyFont="1" applyFill="1" applyBorder="1" applyAlignment="1">
      <alignment horizontal="right"/>
    </xf>
    <xf numFmtId="168" fontId="7" fillId="4" borderId="603" xfId="1" applyNumberFormat="1" applyFont="1" applyFill="1" applyBorder="1" applyAlignment="1">
      <alignment horizontal="right"/>
    </xf>
    <xf numFmtId="1" fontId="7" fillId="0" borderId="604" xfId="4" applyNumberFormat="1" applyFont="1" applyBorder="1" applyAlignment="1">
      <alignment horizontal="center"/>
    </xf>
    <xf numFmtId="10" fontId="9" fillId="0" borderId="605" xfId="5" applyFont="1" applyBorder="1" applyAlignment="1">
      <alignment horizontal="center" vertical="center"/>
    </xf>
    <xf numFmtId="0" fontId="11" fillId="0" borderId="606" xfId="0" applyFont="1" applyBorder="1" applyAlignment="1">
      <alignment horizontal="center"/>
    </xf>
    <xf numFmtId="2" fontId="7" fillId="0" borderId="607" xfId="4" applyNumberFormat="1" applyFont="1" applyBorder="1" applyAlignment="1">
      <alignment horizontal="center"/>
    </xf>
    <xf numFmtId="0" fontId="11" fillId="4" borderId="606" xfId="0" applyFont="1" applyFill="1" applyBorder="1" applyAlignment="1">
      <alignment horizontal="center"/>
    </xf>
    <xf numFmtId="168" fontId="7" fillId="4" borderId="607" xfId="1" applyNumberFormat="1" applyFont="1" applyFill="1" applyBorder="1" applyAlignment="1">
      <alignment horizontal="center"/>
    </xf>
    <xf numFmtId="0" fontId="11" fillId="5" borderId="606" xfId="0" applyFont="1" applyFill="1" applyBorder="1" applyAlignment="1">
      <alignment horizontal="center"/>
    </xf>
    <xf numFmtId="169" fontId="7" fillId="5" borderId="607" xfId="4" applyNumberFormat="1" applyFont="1" applyFill="1" applyBorder="1" applyAlignment="1">
      <alignment horizontal="center"/>
    </xf>
    <xf numFmtId="0" fontId="12" fillId="0" borderId="606" xfId="0" applyFont="1" applyBorder="1" applyAlignment="1">
      <alignment horizontal="center"/>
    </xf>
    <xf numFmtId="169" fontId="13" fillId="0" borderId="607" xfId="4" applyNumberFormat="1" applyFont="1" applyBorder="1" applyAlignment="1">
      <alignment horizontal="center"/>
    </xf>
    <xf numFmtId="168" fontId="7" fillId="4" borderId="607" xfId="1" applyNumberFormat="1" applyFont="1" applyFill="1" applyBorder="1" applyAlignment="1">
      <alignment horizontal="right"/>
    </xf>
    <xf numFmtId="1" fontId="7" fillId="0" borderId="608" xfId="4" applyNumberFormat="1" applyFont="1" applyBorder="1" applyAlignment="1">
      <alignment horizontal="center"/>
    </xf>
    <xf numFmtId="10" fontId="9" fillId="0" borderId="609" xfId="5" applyFont="1" applyBorder="1" applyAlignment="1">
      <alignment horizontal="center" vertical="center"/>
    </xf>
    <xf numFmtId="0" fontId="11" fillId="0" borderId="610" xfId="0" applyFont="1" applyBorder="1" applyAlignment="1">
      <alignment horizontal="center"/>
    </xf>
    <xf numFmtId="2" fontId="7" fillId="0" borderId="611" xfId="4" applyNumberFormat="1" applyFont="1" applyBorder="1" applyAlignment="1">
      <alignment horizontal="center"/>
    </xf>
    <xf numFmtId="0" fontId="11" fillId="4" borderId="610" xfId="0" applyFont="1" applyFill="1" applyBorder="1" applyAlignment="1">
      <alignment horizontal="center"/>
    </xf>
    <xf numFmtId="168" fontId="7" fillId="4" borderId="611" xfId="1" applyNumberFormat="1" applyFont="1" applyFill="1" applyBorder="1" applyAlignment="1">
      <alignment horizontal="center"/>
    </xf>
    <xf numFmtId="0" fontId="11" fillId="5" borderId="610" xfId="0" applyFont="1" applyFill="1" applyBorder="1" applyAlignment="1">
      <alignment horizontal="center"/>
    </xf>
    <xf numFmtId="169" fontId="7" fillId="5" borderId="611" xfId="4" applyNumberFormat="1" applyFont="1" applyFill="1" applyBorder="1" applyAlignment="1">
      <alignment horizontal="center"/>
    </xf>
    <xf numFmtId="0" fontId="12" fillId="0" borderId="610" xfId="0" applyFont="1" applyBorder="1" applyAlignment="1">
      <alignment horizontal="center"/>
    </xf>
    <xf numFmtId="169" fontId="13" fillId="0" borderId="611" xfId="4" applyNumberFormat="1" applyFont="1" applyBorder="1" applyAlignment="1">
      <alignment horizontal="center"/>
    </xf>
    <xf numFmtId="168" fontId="7" fillId="7" borderId="611" xfId="1" applyNumberFormat="1" applyFont="1" applyFill="1" applyBorder="1" applyAlignment="1">
      <alignment horizontal="right"/>
    </xf>
    <xf numFmtId="168" fontId="7" fillId="4" borderId="611" xfId="1" applyNumberFormat="1" applyFont="1" applyFill="1" applyBorder="1" applyAlignment="1">
      <alignment horizontal="right"/>
    </xf>
    <xf numFmtId="1" fontId="7" fillId="0" borderId="612" xfId="4" applyNumberFormat="1" applyFont="1" applyBorder="1" applyAlignment="1">
      <alignment horizontal="center"/>
    </xf>
    <xf numFmtId="10" fontId="9" fillId="0" borderId="613" xfId="5" applyFont="1" applyBorder="1" applyAlignment="1">
      <alignment horizontal="center" vertical="center"/>
    </xf>
    <xf numFmtId="0" fontId="11" fillId="0" borderId="614" xfId="0" applyFont="1" applyBorder="1" applyAlignment="1">
      <alignment horizontal="center"/>
    </xf>
    <xf numFmtId="2" fontId="7" fillId="0" borderId="615" xfId="4" applyNumberFormat="1" applyFont="1" applyBorder="1" applyAlignment="1">
      <alignment horizontal="center"/>
    </xf>
    <xf numFmtId="0" fontId="11" fillId="4" borderId="614" xfId="0" applyFont="1" applyFill="1" applyBorder="1" applyAlignment="1">
      <alignment horizontal="center"/>
    </xf>
    <xf numFmtId="168" fontId="7" fillId="4" borderId="615" xfId="1" applyNumberFormat="1" applyFont="1" applyFill="1" applyBorder="1" applyAlignment="1">
      <alignment horizontal="center"/>
    </xf>
    <xf numFmtId="0" fontId="11" fillId="5" borderId="614" xfId="0" applyFont="1" applyFill="1" applyBorder="1" applyAlignment="1">
      <alignment horizontal="center"/>
    </xf>
    <xf numFmtId="169" fontId="7" fillId="5" borderId="615" xfId="4" applyNumberFormat="1" applyFont="1" applyFill="1" applyBorder="1" applyAlignment="1">
      <alignment horizontal="center"/>
    </xf>
    <xf numFmtId="0" fontId="12" fillId="0" borderId="614" xfId="0" applyFont="1" applyBorder="1" applyAlignment="1">
      <alignment horizontal="center"/>
    </xf>
    <xf numFmtId="169" fontId="13" fillId="0" borderId="615" xfId="4" applyNumberFormat="1" applyFont="1" applyBorder="1" applyAlignment="1">
      <alignment horizontal="center"/>
    </xf>
    <xf numFmtId="168" fontId="7" fillId="4" borderId="615" xfId="1" applyNumberFormat="1" applyFont="1" applyFill="1" applyBorder="1" applyAlignment="1">
      <alignment horizontal="right"/>
    </xf>
    <xf numFmtId="1" fontId="7" fillId="0" borderId="616" xfId="4" applyNumberFormat="1" applyFont="1" applyBorder="1" applyAlignment="1">
      <alignment horizontal="center"/>
    </xf>
    <xf numFmtId="10" fontId="9" fillId="0" borderId="617" xfId="5" applyFont="1" applyBorder="1" applyAlignment="1">
      <alignment horizontal="center" vertical="center"/>
    </xf>
    <xf numFmtId="0" fontId="11" fillId="0" borderId="618" xfId="0" applyFont="1" applyBorder="1" applyAlignment="1">
      <alignment horizontal="center"/>
    </xf>
    <xf numFmtId="2" fontId="7" fillId="0" borderId="619" xfId="4" applyNumberFormat="1" applyFont="1" applyBorder="1" applyAlignment="1">
      <alignment horizontal="center"/>
    </xf>
    <xf numFmtId="0" fontId="11" fillId="4" borderId="618" xfId="0" applyFont="1" applyFill="1" applyBorder="1" applyAlignment="1">
      <alignment horizontal="center"/>
    </xf>
    <xf numFmtId="168" fontId="7" fillId="4" borderId="619" xfId="1" applyNumberFormat="1" applyFont="1" applyFill="1" applyBorder="1" applyAlignment="1">
      <alignment horizontal="center"/>
    </xf>
    <xf numFmtId="0" fontId="11" fillId="5" borderId="618" xfId="0" applyFont="1" applyFill="1" applyBorder="1" applyAlignment="1">
      <alignment horizontal="center"/>
    </xf>
    <xf numFmtId="169" fontId="7" fillId="5" borderId="619" xfId="4" applyNumberFormat="1" applyFont="1" applyFill="1" applyBorder="1" applyAlignment="1">
      <alignment horizontal="center"/>
    </xf>
    <xf numFmtId="0" fontId="12" fillId="0" borderId="618" xfId="0" applyFont="1" applyBorder="1" applyAlignment="1">
      <alignment horizontal="center"/>
    </xf>
    <xf numFmtId="169" fontId="13" fillId="0" borderId="619" xfId="4" applyNumberFormat="1" applyFont="1" applyBorder="1" applyAlignment="1">
      <alignment horizontal="center"/>
    </xf>
    <xf numFmtId="168" fontId="7" fillId="4" borderId="619" xfId="1" applyNumberFormat="1" applyFont="1" applyFill="1" applyBorder="1" applyAlignment="1">
      <alignment horizontal="right"/>
    </xf>
    <xf numFmtId="1" fontId="7" fillId="0" borderId="620" xfId="4" applyNumberFormat="1" applyFont="1" applyBorder="1" applyAlignment="1">
      <alignment horizontal="center"/>
    </xf>
    <xf numFmtId="10" fontId="9" fillId="0" borderId="621" xfId="5" applyFont="1" applyBorder="1" applyAlignment="1">
      <alignment horizontal="center" vertical="center"/>
    </xf>
    <xf numFmtId="0" fontId="11" fillId="0" borderId="622" xfId="0" applyFont="1" applyBorder="1" applyAlignment="1">
      <alignment horizontal="center"/>
    </xf>
    <xf numFmtId="2" fontId="7" fillId="0" borderId="623" xfId="4" applyNumberFormat="1" applyFont="1" applyBorder="1" applyAlignment="1">
      <alignment horizontal="center"/>
    </xf>
    <xf numFmtId="0" fontId="11" fillId="4" borderId="622" xfId="0" applyFont="1" applyFill="1" applyBorder="1" applyAlignment="1">
      <alignment horizontal="center"/>
    </xf>
    <xf numFmtId="168" fontId="7" fillId="4" borderId="623" xfId="1" applyNumberFormat="1" applyFont="1" applyFill="1" applyBorder="1" applyAlignment="1">
      <alignment horizontal="center"/>
    </xf>
    <xf numFmtId="0" fontId="11" fillId="5" borderId="622" xfId="0" applyFont="1" applyFill="1" applyBorder="1" applyAlignment="1">
      <alignment horizontal="center"/>
    </xf>
    <xf numFmtId="169" fontId="7" fillId="5" borderId="623" xfId="4" applyNumberFormat="1" applyFont="1" applyFill="1" applyBorder="1" applyAlignment="1">
      <alignment horizontal="center"/>
    </xf>
    <xf numFmtId="0" fontId="12" fillId="0" borderId="622" xfId="0" applyFont="1" applyBorder="1" applyAlignment="1">
      <alignment horizontal="center"/>
    </xf>
    <xf numFmtId="169" fontId="13" fillId="0" borderId="623" xfId="4" applyNumberFormat="1" applyFont="1" applyBorder="1" applyAlignment="1">
      <alignment horizontal="center"/>
    </xf>
    <xf numFmtId="168" fontId="7" fillId="4" borderId="623" xfId="1" applyNumberFormat="1" applyFont="1" applyFill="1" applyBorder="1" applyAlignment="1">
      <alignment horizontal="right"/>
    </xf>
    <xf numFmtId="1" fontId="7" fillId="0" borderId="624" xfId="4" applyNumberFormat="1" applyFont="1" applyBorder="1" applyAlignment="1">
      <alignment horizontal="center"/>
    </xf>
    <xf numFmtId="10" fontId="9" fillId="0" borderId="625" xfId="5" applyFont="1" applyBorder="1" applyAlignment="1">
      <alignment horizontal="center" vertical="center"/>
    </xf>
    <xf numFmtId="0" fontId="11" fillId="0" borderId="626" xfId="0" applyFont="1" applyBorder="1" applyAlignment="1">
      <alignment horizontal="center"/>
    </xf>
    <xf numFmtId="2" fontId="7" fillId="0" borderId="627" xfId="4" applyNumberFormat="1" applyFont="1" applyBorder="1" applyAlignment="1">
      <alignment horizontal="center"/>
    </xf>
    <xf numFmtId="0" fontId="11" fillId="4" borderId="626" xfId="0" applyFont="1" applyFill="1" applyBorder="1" applyAlignment="1">
      <alignment horizontal="center"/>
    </xf>
    <xf numFmtId="168" fontId="7" fillId="4" borderId="627" xfId="1" applyNumberFormat="1" applyFont="1" applyFill="1" applyBorder="1" applyAlignment="1">
      <alignment horizontal="center"/>
    </xf>
    <xf numFmtId="0" fontId="11" fillId="5" borderId="626" xfId="0" applyFont="1" applyFill="1" applyBorder="1" applyAlignment="1">
      <alignment horizontal="center"/>
    </xf>
    <xf numFmtId="169" fontId="7" fillId="5" borderId="627" xfId="4" applyNumberFormat="1" applyFont="1" applyFill="1" applyBorder="1" applyAlignment="1">
      <alignment horizontal="center"/>
    </xf>
    <xf numFmtId="0" fontId="12" fillId="0" borderId="626" xfId="0" applyFont="1" applyBorder="1" applyAlignment="1">
      <alignment horizontal="center"/>
    </xf>
    <xf numFmtId="169" fontId="13" fillId="0" borderId="627" xfId="4" applyNumberFormat="1" applyFont="1" applyBorder="1" applyAlignment="1">
      <alignment horizontal="center"/>
    </xf>
    <xf numFmtId="168" fontId="7" fillId="4" borderId="627" xfId="1" applyNumberFormat="1" applyFont="1" applyFill="1" applyBorder="1" applyAlignment="1">
      <alignment horizontal="right"/>
    </xf>
    <xf numFmtId="1" fontId="7" fillId="0" borderId="628" xfId="4" applyNumberFormat="1" applyFont="1" applyBorder="1" applyAlignment="1">
      <alignment horizontal="center"/>
    </xf>
    <xf numFmtId="10" fontId="9" fillId="0" borderId="629" xfId="5" applyFont="1" applyBorder="1" applyAlignment="1">
      <alignment horizontal="center" vertical="center"/>
    </xf>
    <xf numFmtId="0" fontId="11" fillId="0" borderId="630" xfId="0" applyFont="1" applyBorder="1" applyAlignment="1">
      <alignment horizontal="center"/>
    </xf>
    <xf numFmtId="2" fontId="7" fillId="0" borderId="631" xfId="4" applyNumberFormat="1" applyFont="1" applyBorder="1" applyAlignment="1">
      <alignment horizontal="center"/>
    </xf>
    <xf numFmtId="0" fontId="11" fillId="4" borderId="630" xfId="0" applyFont="1" applyFill="1" applyBorder="1" applyAlignment="1">
      <alignment horizontal="center"/>
    </xf>
    <xf numFmtId="168" fontId="7" fillId="4" borderId="631" xfId="1" applyNumberFormat="1" applyFont="1" applyFill="1" applyBorder="1" applyAlignment="1">
      <alignment horizontal="center"/>
    </xf>
    <xf numFmtId="0" fontId="11" fillId="5" borderId="630" xfId="0" applyFont="1" applyFill="1" applyBorder="1" applyAlignment="1">
      <alignment horizontal="center"/>
    </xf>
    <xf numFmtId="169" fontId="7" fillId="5" borderId="631" xfId="4" applyNumberFormat="1" applyFont="1" applyFill="1" applyBorder="1" applyAlignment="1">
      <alignment horizontal="center"/>
    </xf>
    <xf numFmtId="0" fontId="12" fillId="0" borderId="630" xfId="0" applyFont="1" applyBorder="1" applyAlignment="1">
      <alignment horizontal="center"/>
    </xf>
    <xf numFmtId="169" fontId="13" fillId="0" borderId="631" xfId="4" applyNumberFormat="1" applyFont="1" applyBorder="1" applyAlignment="1">
      <alignment horizontal="center"/>
    </xf>
    <xf numFmtId="168" fontId="7" fillId="4" borderId="631" xfId="1" applyNumberFormat="1" applyFont="1" applyFill="1" applyBorder="1" applyAlignment="1">
      <alignment horizontal="right"/>
    </xf>
    <xf numFmtId="1" fontId="7" fillId="0" borderId="632" xfId="4" applyNumberFormat="1" applyFont="1" applyBorder="1" applyAlignment="1">
      <alignment horizontal="center"/>
    </xf>
    <xf numFmtId="10" fontId="9" fillId="0" borderId="633" xfId="5" applyFont="1" applyBorder="1" applyAlignment="1">
      <alignment horizontal="center" vertical="center"/>
    </xf>
    <xf numFmtId="0" fontId="11" fillId="0" borderId="634" xfId="0" applyFont="1" applyBorder="1" applyAlignment="1">
      <alignment horizontal="center"/>
    </xf>
    <xf numFmtId="2" fontId="7" fillId="0" borderId="635" xfId="4" applyNumberFormat="1" applyFont="1" applyBorder="1" applyAlignment="1">
      <alignment horizontal="center"/>
    </xf>
    <xf numFmtId="0" fontId="11" fillId="4" borderId="634" xfId="0" applyFont="1" applyFill="1" applyBorder="1" applyAlignment="1">
      <alignment horizontal="center"/>
    </xf>
    <xf numFmtId="168" fontId="7" fillId="4" borderId="635" xfId="1" applyNumberFormat="1" applyFont="1" applyFill="1" applyBorder="1" applyAlignment="1">
      <alignment horizontal="center"/>
    </xf>
    <xf numFmtId="0" fontId="11" fillId="5" borderId="634" xfId="0" applyFont="1" applyFill="1" applyBorder="1" applyAlignment="1">
      <alignment horizontal="center"/>
    </xf>
    <xf numFmtId="169" fontId="7" fillId="5" borderId="635" xfId="4" applyNumberFormat="1" applyFont="1" applyFill="1" applyBorder="1" applyAlignment="1">
      <alignment horizontal="center"/>
    </xf>
    <xf numFmtId="0" fontId="12" fillId="0" borderId="634" xfId="0" applyFont="1" applyBorder="1" applyAlignment="1">
      <alignment horizontal="center"/>
    </xf>
    <xf numFmtId="169" fontId="13" fillId="0" borderId="635" xfId="4" applyNumberFormat="1" applyFont="1" applyBorder="1" applyAlignment="1">
      <alignment horizontal="center"/>
    </xf>
    <xf numFmtId="168" fontId="7" fillId="4" borderId="635" xfId="1" applyNumberFormat="1" applyFont="1" applyFill="1" applyBorder="1" applyAlignment="1">
      <alignment horizontal="right"/>
    </xf>
    <xf numFmtId="1" fontId="7" fillId="0" borderId="636" xfId="4" applyNumberFormat="1" applyFont="1" applyBorder="1" applyAlignment="1">
      <alignment horizontal="center"/>
    </xf>
    <xf numFmtId="10" fontId="9" fillId="0" borderId="637" xfId="5" applyFont="1" applyBorder="1" applyAlignment="1">
      <alignment horizontal="center" vertical="center"/>
    </xf>
    <xf numFmtId="0" fontId="11" fillId="0" borderId="638" xfId="0" applyFont="1" applyBorder="1" applyAlignment="1">
      <alignment horizontal="center"/>
    </xf>
    <xf numFmtId="2" fontId="7" fillId="0" borderId="639" xfId="4" applyNumberFormat="1" applyFont="1" applyBorder="1" applyAlignment="1">
      <alignment horizontal="center"/>
    </xf>
    <xf numFmtId="0" fontId="11" fillId="4" borderId="638" xfId="0" applyFont="1" applyFill="1" applyBorder="1" applyAlignment="1">
      <alignment horizontal="center"/>
    </xf>
    <xf numFmtId="168" fontId="7" fillId="4" borderId="639" xfId="1" applyNumberFormat="1" applyFont="1" applyFill="1" applyBorder="1" applyAlignment="1">
      <alignment horizontal="center"/>
    </xf>
    <xf numFmtId="0" fontId="11" fillId="5" borderId="638" xfId="0" applyFont="1" applyFill="1" applyBorder="1" applyAlignment="1">
      <alignment horizontal="center"/>
    </xf>
    <xf numFmtId="169" fontId="7" fillId="5" borderId="639" xfId="4" applyNumberFormat="1" applyFont="1" applyFill="1" applyBorder="1" applyAlignment="1">
      <alignment horizontal="center"/>
    </xf>
    <xf numFmtId="0" fontId="12" fillId="0" borderId="638" xfId="0" applyFont="1" applyBorder="1" applyAlignment="1">
      <alignment horizontal="center"/>
    </xf>
    <xf numFmtId="169" fontId="13" fillId="0" borderId="639" xfId="4" applyNumberFormat="1" applyFont="1" applyBorder="1" applyAlignment="1">
      <alignment horizontal="center"/>
    </xf>
    <xf numFmtId="168" fontId="7" fillId="4" borderId="639" xfId="1" applyNumberFormat="1" applyFont="1" applyFill="1" applyBorder="1" applyAlignment="1">
      <alignment horizontal="right"/>
    </xf>
    <xf numFmtId="1" fontId="7" fillId="0" borderId="640" xfId="4" applyNumberFormat="1" applyFont="1" applyBorder="1" applyAlignment="1">
      <alignment horizontal="center"/>
    </xf>
    <xf numFmtId="10" fontId="9" fillId="0" borderId="641" xfId="5" applyFont="1" applyBorder="1" applyAlignment="1">
      <alignment horizontal="center" vertical="center"/>
    </xf>
    <xf numFmtId="0" fontId="11" fillId="0" borderId="642" xfId="0" applyFont="1" applyBorder="1" applyAlignment="1">
      <alignment horizontal="center"/>
    </xf>
    <xf numFmtId="2" fontId="7" fillId="0" borderId="643" xfId="4" applyNumberFormat="1" applyFont="1" applyBorder="1" applyAlignment="1">
      <alignment horizontal="center"/>
    </xf>
    <xf numFmtId="0" fontId="11" fillId="4" borderId="642" xfId="0" applyFont="1" applyFill="1" applyBorder="1" applyAlignment="1">
      <alignment horizontal="center"/>
    </xf>
    <xf numFmtId="168" fontId="7" fillId="4" borderId="643" xfId="1" applyNumberFormat="1" applyFont="1" applyFill="1" applyBorder="1" applyAlignment="1">
      <alignment horizontal="center"/>
    </xf>
    <xf numFmtId="0" fontId="11" fillId="5" borderId="642" xfId="0" applyFont="1" applyFill="1" applyBorder="1" applyAlignment="1">
      <alignment horizontal="center"/>
    </xf>
    <xf numFmtId="169" fontId="7" fillId="5" borderId="643" xfId="4" applyNumberFormat="1" applyFont="1" applyFill="1" applyBorder="1" applyAlignment="1">
      <alignment horizontal="center"/>
    </xf>
    <xf numFmtId="0" fontId="12" fillId="0" borderId="642" xfId="0" applyFont="1" applyBorder="1" applyAlignment="1">
      <alignment horizontal="center"/>
    </xf>
    <xf numFmtId="169" fontId="13" fillId="0" borderId="643" xfId="4" applyNumberFormat="1" applyFont="1" applyBorder="1" applyAlignment="1">
      <alignment horizontal="center"/>
    </xf>
    <xf numFmtId="168" fontId="7" fillId="4" borderId="643" xfId="1" applyNumberFormat="1" applyFont="1" applyFill="1" applyBorder="1" applyAlignment="1">
      <alignment horizontal="right"/>
    </xf>
    <xf numFmtId="1" fontId="7" fillId="0" borderId="644" xfId="4" applyNumberFormat="1" applyFont="1" applyBorder="1" applyAlignment="1">
      <alignment horizontal="center"/>
    </xf>
    <xf numFmtId="10" fontId="9" fillId="0" borderId="645" xfId="5" applyFont="1" applyBorder="1" applyAlignment="1">
      <alignment horizontal="center" vertical="center"/>
    </xf>
    <xf numFmtId="0" fontId="11" fillId="0" borderId="646" xfId="0" applyFont="1" applyBorder="1" applyAlignment="1">
      <alignment horizontal="center"/>
    </xf>
    <xf numFmtId="2" fontId="7" fillId="0" borderId="647" xfId="4" applyNumberFormat="1" applyFont="1" applyBorder="1" applyAlignment="1">
      <alignment horizontal="center"/>
    </xf>
    <xf numFmtId="0" fontId="11" fillId="4" borderId="646" xfId="0" applyFont="1" applyFill="1" applyBorder="1" applyAlignment="1">
      <alignment horizontal="center"/>
    </xf>
    <xf numFmtId="168" fontId="7" fillId="4" borderId="647" xfId="1" applyNumberFormat="1" applyFont="1" applyFill="1" applyBorder="1" applyAlignment="1">
      <alignment horizontal="center"/>
    </xf>
    <xf numFmtId="0" fontId="11" fillId="5" borderId="646" xfId="0" applyFont="1" applyFill="1" applyBorder="1" applyAlignment="1">
      <alignment horizontal="center"/>
    </xf>
    <xf numFmtId="169" fontId="7" fillId="5" borderId="647" xfId="4" applyNumberFormat="1" applyFont="1" applyFill="1" applyBorder="1" applyAlignment="1">
      <alignment horizontal="center"/>
    </xf>
    <xf numFmtId="0" fontId="12" fillId="0" borderId="646" xfId="0" applyFont="1" applyBorder="1" applyAlignment="1">
      <alignment horizontal="center"/>
    </xf>
    <xf numFmtId="169" fontId="13" fillId="0" borderId="647" xfId="4" applyNumberFormat="1" applyFont="1" applyBorder="1" applyAlignment="1">
      <alignment horizontal="center"/>
    </xf>
    <xf numFmtId="168" fontId="7" fillId="4" borderId="647" xfId="1" applyNumberFormat="1" applyFont="1" applyFill="1" applyBorder="1" applyAlignment="1">
      <alignment horizontal="right"/>
    </xf>
    <xf numFmtId="1" fontId="7" fillId="0" borderId="648" xfId="4" applyNumberFormat="1" applyFont="1" applyBorder="1" applyAlignment="1">
      <alignment horizontal="center"/>
    </xf>
    <xf numFmtId="10" fontId="9" fillId="0" borderId="649" xfId="5" applyFont="1" applyBorder="1" applyAlignment="1">
      <alignment horizontal="center" vertical="center"/>
    </xf>
    <xf numFmtId="0" fontId="11" fillId="0" borderId="650" xfId="0" applyFont="1" applyBorder="1" applyAlignment="1">
      <alignment horizontal="center"/>
    </xf>
    <xf numFmtId="2" fontId="7" fillId="0" borderId="651" xfId="4" applyNumberFormat="1" applyFont="1" applyBorder="1" applyAlignment="1">
      <alignment horizontal="center"/>
    </xf>
    <xf numFmtId="0" fontId="11" fillId="4" borderId="650" xfId="0" applyFont="1" applyFill="1" applyBorder="1" applyAlignment="1">
      <alignment horizontal="center"/>
    </xf>
    <xf numFmtId="168" fontId="7" fillId="4" borderId="651" xfId="1" applyNumberFormat="1" applyFont="1" applyFill="1" applyBorder="1" applyAlignment="1">
      <alignment horizontal="center"/>
    </xf>
    <xf numFmtId="0" fontId="11" fillId="5" borderId="650" xfId="0" applyFont="1" applyFill="1" applyBorder="1" applyAlignment="1">
      <alignment horizontal="center"/>
    </xf>
    <xf numFmtId="169" fontId="7" fillId="5" borderId="651" xfId="4" applyNumberFormat="1" applyFont="1" applyFill="1" applyBorder="1" applyAlignment="1">
      <alignment horizontal="center"/>
    </xf>
    <xf numFmtId="0" fontId="12" fillId="0" borderId="650" xfId="0" applyFont="1" applyBorder="1" applyAlignment="1">
      <alignment horizontal="center"/>
    </xf>
    <xf numFmtId="169" fontId="13" fillId="0" borderId="651" xfId="4" applyNumberFormat="1" applyFont="1" applyBorder="1" applyAlignment="1">
      <alignment horizontal="center"/>
    </xf>
    <xf numFmtId="168" fontId="7" fillId="4" borderId="651" xfId="1" applyNumberFormat="1" applyFont="1" applyFill="1" applyBorder="1" applyAlignment="1">
      <alignment horizontal="right"/>
    </xf>
    <xf numFmtId="1" fontId="7" fillId="0" borderId="652" xfId="4" applyNumberFormat="1" applyFont="1" applyBorder="1" applyAlignment="1">
      <alignment horizontal="center"/>
    </xf>
    <xf numFmtId="10" fontId="9" fillId="0" borderId="653" xfId="5" applyFont="1" applyBorder="1" applyAlignment="1">
      <alignment horizontal="center" vertical="center"/>
    </xf>
    <xf numFmtId="0" fontId="11" fillId="0" borderId="654" xfId="0" applyFont="1" applyBorder="1" applyAlignment="1">
      <alignment horizontal="center"/>
    </xf>
    <xf numFmtId="2" fontId="7" fillId="0" borderId="655" xfId="4" applyNumberFormat="1" applyFont="1" applyBorder="1" applyAlignment="1">
      <alignment horizontal="center"/>
    </xf>
    <xf numFmtId="0" fontId="11" fillId="4" borderId="654" xfId="0" applyFont="1" applyFill="1" applyBorder="1" applyAlignment="1">
      <alignment horizontal="center"/>
    </xf>
    <xf numFmtId="168" fontId="7" fillId="4" borderId="655" xfId="1" applyNumberFormat="1" applyFont="1" applyFill="1" applyBorder="1" applyAlignment="1">
      <alignment horizontal="center"/>
    </xf>
    <xf numFmtId="0" fontId="11" fillId="5" borderId="654" xfId="0" applyFont="1" applyFill="1" applyBorder="1" applyAlignment="1">
      <alignment horizontal="center"/>
    </xf>
    <xf numFmtId="169" fontId="7" fillId="5" borderId="655" xfId="4" applyNumberFormat="1" applyFont="1" applyFill="1" applyBorder="1" applyAlignment="1">
      <alignment horizontal="center"/>
    </xf>
    <xf numFmtId="0" fontId="12" fillId="0" borderId="654" xfId="0" applyFont="1" applyBorder="1" applyAlignment="1">
      <alignment horizontal="center"/>
    </xf>
    <xf numFmtId="169" fontId="13" fillId="0" borderId="655" xfId="4" applyNumberFormat="1" applyFont="1" applyBorder="1" applyAlignment="1">
      <alignment horizontal="center"/>
    </xf>
    <xf numFmtId="168" fontId="7" fillId="4" borderId="655" xfId="1" applyNumberFormat="1" applyFont="1" applyFill="1" applyBorder="1" applyAlignment="1">
      <alignment horizontal="right"/>
    </xf>
    <xf numFmtId="1" fontId="7" fillId="0" borderId="656" xfId="4" applyNumberFormat="1" applyFont="1" applyBorder="1" applyAlignment="1">
      <alignment horizontal="center"/>
    </xf>
    <xf numFmtId="10" fontId="9" fillId="0" borderId="657" xfId="5" applyFont="1" applyBorder="1" applyAlignment="1">
      <alignment horizontal="center" vertical="center"/>
    </xf>
    <xf numFmtId="0" fontId="11" fillId="0" borderId="658" xfId="0" applyFont="1" applyBorder="1" applyAlignment="1">
      <alignment horizontal="center"/>
    </xf>
    <xf numFmtId="2" fontId="7" fillId="0" borderId="659" xfId="4" applyNumberFormat="1" applyFont="1" applyBorder="1" applyAlignment="1">
      <alignment horizontal="center"/>
    </xf>
    <xf numFmtId="0" fontId="11" fillId="4" borderId="658" xfId="0" applyFont="1" applyFill="1" applyBorder="1" applyAlignment="1">
      <alignment horizontal="center"/>
    </xf>
    <xf numFmtId="168" fontId="7" fillId="4" borderId="659" xfId="1" applyNumberFormat="1" applyFont="1" applyFill="1" applyBorder="1" applyAlignment="1">
      <alignment horizontal="center"/>
    </xf>
    <xf numFmtId="0" fontId="11" fillId="5" borderId="658" xfId="0" applyFont="1" applyFill="1" applyBorder="1" applyAlignment="1">
      <alignment horizontal="center"/>
    </xf>
    <xf numFmtId="169" fontId="7" fillId="5" borderId="659" xfId="4" applyNumberFormat="1" applyFont="1" applyFill="1" applyBorder="1" applyAlignment="1">
      <alignment horizontal="center"/>
    </xf>
    <xf numFmtId="0" fontId="12" fillId="0" borderId="658" xfId="0" applyFont="1" applyBorder="1" applyAlignment="1">
      <alignment horizontal="center"/>
    </xf>
    <xf numFmtId="169" fontId="13" fillId="0" borderId="659" xfId="4" applyNumberFormat="1" applyFont="1" applyBorder="1" applyAlignment="1">
      <alignment horizontal="center"/>
    </xf>
    <xf numFmtId="168" fontId="7" fillId="4" borderId="659" xfId="1" applyNumberFormat="1" applyFont="1" applyFill="1" applyBorder="1" applyAlignment="1">
      <alignment horizontal="right"/>
    </xf>
    <xf numFmtId="1" fontId="7" fillId="0" borderId="660" xfId="4" applyNumberFormat="1" applyFont="1" applyBorder="1" applyAlignment="1">
      <alignment horizontal="center"/>
    </xf>
    <xf numFmtId="10" fontId="9" fillId="0" borderId="661" xfId="5" applyFont="1" applyBorder="1" applyAlignment="1">
      <alignment horizontal="center" vertical="center"/>
    </xf>
    <xf numFmtId="0" fontId="11" fillId="0" borderId="662" xfId="0" applyFont="1" applyBorder="1" applyAlignment="1">
      <alignment horizontal="center"/>
    </xf>
    <xf numFmtId="2" fontId="7" fillId="0" borderId="663" xfId="4" applyNumberFormat="1" applyFont="1" applyBorder="1" applyAlignment="1">
      <alignment horizontal="center"/>
    </xf>
    <xf numFmtId="0" fontId="11" fillId="4" borderId="662" xfId="0" applyFont="1" applyFill="1" applyBorder="1" applyAlignment="1">
      <alignment horizontal="center"/>
    </xf>
    <xf numFmtId="168" fontId="7" fillId="4" borderId="663" xfId="1" applyNumberFormat="1" applyFont="1" applyFill="1" applyBorder="1" applyAlignment="1">
      <alignment horizontal="center"/>
    </xf>
    <xf numFmtId="0" fontId="11" fillId="5" borderId="662" xfId="0" applyFont="1" applyFill="1" applyBorder="1" applyAlignment="1">
      <alignment horizontal="center"/>
    </xf>
    <xf numFmtId="169" fontId="7" fillId="5" borderId="663" xfId="4" applyNumberFormat="1" applyFont="1" applyFill="1" applyBorder="1" applyAlignment="1">
      <alignment horizontal="center"/>
    </xf>
    <xf numFmtId="0" fontId="12" fillId="0" borderId="662" xfId="0" applyFont="1" applyBorder="1" applyAlignment="1">
      <alignment horizontal="center"/>
    </xf>
    <xf numFmtId="169" fontId="13" fillId="0" borderId="663" xfId="4" applyNumberFormat="1" applyFont="1" applyBorder="1" applyAlignment="1">
      <alignment horizontal="center"/>
    </xf>
    <xf numFmtId="168" fontId="7" fillId="4" borderId="663" xfId="1" applyNumberFormat="1" applyFont="1" applyFill="1" applyBorder="1" applyAlignment="1">
      <alignment horizontal="right"/>
    </xf>
    <xf numFmtId="1" fontId="7" fillId="0" borderId="664" xfId="4" applyNumberFormat="1" applyFont="1" applyBorder="1" applyAlignment="1">
      <alignment horizontal="center"/>
    </xf>
    <xf numFmtId="10" fontId="9" fillId="0" borderId="665" xfId="5" applyFont="1" applyBorder="1" applyAlignment="1">
      <alignment horizontal="center" vertical="center"/>
    </xf>
    <xf numFmtId="0" fontId="11" fillId="0" borderId="666" xfId="0" applyFont="1" applyBorder="1" applyAlignment="1">
      <alignment horizontal="center"/>
    </xf>
    <xf numFmtId="2" fontId="7" fillId="0" borderId="667" xfId="4" applyNumberFormat="1" applyFont="1" applyBorder="1" applyAlignment="1">
      <alignment horizontal="center"/>
    </xf>
    <xf numFmtId="0" fontId="11" fillId="4" borderId="666" xfId="0" applyFont="1" applyFill="1" applyBorder="1" applyAlignment="1">
      <alignment horizontal="center"/>
    </xf>
    <xf numFmtId="168" fontId="7" fillId="4" borderId="667" xfId="1" applyNumberFormat="1" applyFont="1" applyFill="1" applyBorder="1" applyAlignment="1">
      <alignment horizontal="center"/>
    </xf>
    <xf numFmtId="0" fontId="11" fillId="5" borderId="666" xfId="0" applyFont="1" applyFill="1" applyBorder="1" applyAlignment="1">
      <alignment horizontal="center"/>
    </xf>
    <xf numFmtId="169" fontId="7" fillId="5" borderId="667" xfId="4" applyNumberFormat="1" applyFont="1" applyFill="1" applyBorder="1" applyAlignment="1">
      <alignment horizontal="center"/>
    </xf>
    <xf numFmtId="0" fontId="12" fillId="0" borderId="666" xfId="0" applyFont="1" applyBorder="1" applyAlignment="1">
      <alignment horizontal="center"/>
    </xf>
    <xf numFmtId="169" fontId="13" fillId="0" borderId="667" xfId="4" applyNumberFormat="1" applyFont="1" applyBorder="1" applyAlignment="1">
      <alignment horizontal="center"/>
    </xf>
    <xf numFmtId="168" fontId="7" fillId="4" borderId="667" xfId="1" applyNumberFormat="1" applyFont="1" applyFill="1" applyBorder="1" applyAlignment="1">
      <alignment horizontal="right"/>
    </xf>
    <xf numFmtId="1" fontId="7" fillId="0" borderId="668" xfId="4" applyNumberFormat="1" applyFont="1" applyBorder="1" applyAlignment="1">
      <alignment horizontal="center"/>
    </xf>
    <xf numFmtId="10" fontId="9" fillId="0" borderId="669" xfId="5" applyFont="1" applyBorder="1" applyAlignment="1">
      <alignment horizontal="center" vertical="center"/>
    </xf>
    <xf numFmtId="0" fontId="11" fillId="0" borderId="670" xfId="0" applyFont="1" applyBorder="1" applyAlignment="1">
      <alignment horizontal="center"/>
    </xf>
    <xf numFmtId="2" fontId="7" fillId="0" borderId="671" xfId="4" applyNumberFormat="1" applyFont="1" applyBorder="1" applyAlignment="1">
      <alignment horizontal="center"/>
    </xf>
    <xf numFmtId="0" fontId="11" fillId="4" borderId="670" xfId="0" applyFont="1" applyFill="1" applyBorder="1" applyAlignment="1">
      <alignment horizontal="center"/>
    </xf>
    <xf numFmtId="168" fontId="7" fillId="4" borderId="671" xfId="1" applyNumberFormat="1" applyFont="1" applyFill="1" applyBorder="1" applyAlignment="1">
      <alignment horizontal="center"/>
    </xf>
    <xf numFmtId="0" fontId="11" fillId="5" borderId="670" xfId="0" applyFont="1" applyFill="1" applyBorder="1" applyAlignment="1">
      <alignment horizontal="center"/>
    </xf>
    <xf numFmtId="169" fontId="7" fillId="5" borderId="671" xfId="4" applyNumberFormat="1" applyFont="1" applyFill="1" applyBorder="1" applyAlignment="1">
      <alignment horizontal="center"/>
    </xf>
    <xf numFmtId="0" fontId="12" fillId="0" borderId="670" xfId="0" applyFont="1" applyBorder="1" applyAlignment="1">
      <alignment horizontal="center"/>
    </xf>
    <xf numFmtId="169" fontId="13" fillId="0" borderId="671" xfId="4" applyNumberFormat="1" applyFont="1" applyBorder="1" applyAlignment="1">
      <alignment horizontal="center"/>
    </xf>
    <xf numFmtId="168" fontId="7" fillId="4" borderId="671" xfId="1" applyNumberFormat="1" applyFont="1" applyFill="1" applyBorder="1" applyAlignment="1">
      <alignment horizontal="right"/>
    </xf>
    <xf numFmtId="1" fontId="7" fillId="0" borderId="672" xfId="4" applyNumberFormat="1" applyFont="1" applyBorder="1" applyAlignment="1">
      <alignment horizontal="center"/>
    </xf>
    <xf numFmtId="10" fontId="9" fillId="0" borderId="673" xfId="5" applyFont="1" applyBorder="1" applyAlignment="1">
      <alignment horizontal="center" vertical="center"/>
    </xf>
    <xf numFmtId="0" fontId="11" fillId="0" borderId="674" xfId="0" applyFont="1" applyBorder="1" applyAlignment="1">
      <alignment horizontal="center"/>
    </xf>
    <xf numFmtId="2" fontId="7" fillId="0" borderId="675" xfId="4" applyNumberFormat="1" applyFont="1" applyBorder="1" applyAlignment="1">
      <alignment horizontal="center"/>
    </xf>
    <xf numFmtId="0" fontId="11" fillId="4" borderId="674" xfId="0" applyFont="1" applyFill="1" applyBorder="1" applyAlignment="1">
      <alignment horizontal="center"/>
    </xf>
    <xf numFmtId="168" fontId="7" fillId="4" borderId="675" xfId="1" applyNumberFormat="1" applyFont="1" applyFill="1" applyBorder="1" applyAlignment="1">
      <alignment horizontal="center"/>
    </xf>
    <xf numFmtId="0" fontId="11" fillId="5" borderId="674" xfId="0" applyFont="1" applyFill="1" applyBorder="1" applyAlignment="1">
      <alignment horizontal="center"/>
    </xf>
    <xf numFmtId="169" fontId="7" fillId="5" borderId="675" xfId="4" applyNumberFormat="1" applyFont="1" applyFill="1" applyBorder="1" applyAlignment="1">
      <alignment horizontal="center"/>
    </xf>
    <xf numFmtId="0" fontId="12" fillId="0" borderId="674" xfId="0" applyFont="1" applyBorder="1" applyAlignment="1">
      <alignment horizontal="center"/>
    </xf>
    <xf numFmtId="169" fontId="13" fillId="0" borderId="675" xfId="4" applyNumberFormat="1" applyFont="1" applyBorder="1" applyAlignment="1">
      <alignment horizontal="center"/>
    </xf>
    <xf numFmtId="168" fontId="7" fillId="4" borderId="675" xfId="1" applyNumberFormat="1" applyFont="1" applyFill="1" applyBorder="1" applyAlignment="1">
      <alignment horizontal="right"/>
    </xf>
    <xf numFmtId="1" fontId="7" fillId="0" borderId="676" xfId="4" applyNumberFormat="1" applyFont="1" applyBorder="1" applyAlignment="1">
      <alignment horizontal="center"/>
    </xf>
    <xf numFmtId="10" fontId="9" fillId="0" borderId="677" xfId="5" applyFont="1" applyBorder="1" applyAlignment="1">
      <alignment horizontal="center" vertical="center"/>
    </xf>
    <xf numFmtId="0" fontId="11" fillId="0" borderId="678" xfId="0" applyFont="1" applyBorder="1" applyAlignment="1">
      <alignment horizontal="center"/>
    </xf>
    <xf numFmtId="2" fontId="7" fillId="0" borderId="679" xfId="4" applyNumberFormat="1" applyFont="1" applyBorder="1" applyAlignment="1">
      <alignment horizontal="center"/>
    </xf>
    <xf numFmtId="0" fontId="11" fillId="4" borderId="678" xfId="0" applyFont="1" applyFill="1" applyBorder="1" applyAlignment="1">
      <alignment horizontal="center"/>
    </xf>
    <xf numFmtId="168" fontId="7" fillId="4" borderId="679" xfId="1" applyNumberFormat="1" applyFont="1" applyFill="1" applyBorder="1" applyAlignment="1">
      <alignment horizontal="center"/>
    </xf>
    <xf numFmtId="0" fontId="11" fillId="5" borderId="678" xfId="0" applyFont="1" applyFill="1" applyBorder="1" applyAlignment="1">
      <alignment horizontal="center"/>
    </xf>
    <xf numFmtId="169" fontId="7" fillId="5" borderId="679" xfId="4" applyNumberFormat="1" applyFont="1" applyFill="1" applyBorder="1" applyAlignment="1">
      <alignment horizontal="center"/>
    </xf>
    <xf numFmtId="0" fontId="12" fillId="0" borderId="678" xfId="0" applyFont="1" applyBorder="1" applyAlignment="1">
      <alignment horizontal="center"/>
    </xf>
    <xf numFmtId="169" fontId="13" fillId="0" borderId="679" xfId="4" applyNumberFormat="1" applyFont="1" applyBorder="1" applyAlignment="1">
      <alignment horizontal="center"/>
    </xf>
    <xf numFmtId="168" fontId="7" fillId="4" borderId="679" xfId="1" applyNumberFormat="1" applyFont="1" applyFill="1" applyBorder="1" applyAlignment="1">
      <alignment horizontal="right"/>
    </xf>
    <xf numFmtId="1" fontId="7" fillId="0" borderId="680" xfId="4" applyNumberFormat="1" applyFont="1" applyBorder="1" applyAlignment="1">
      <alignment horizontal="center"/>
    </xf>
    <xf numFmtId="10" fontId="9" fillId="0" borderId="681" xfId="5" applyFont="1" applyBorder="1" applyAlignment="1">
      <alignment horizontal="center" vertical="center"/>
    </xf>
    <xf numFmtId="0" fontId="11" fillId="0" borderId="682" xfId="0" applyFont="1" applyBorder="1" applyAlignment="1">
      <alignment horizontal="center"/>
    </xf>
    <xf numFmtId="2" fontId="7" fillId="0" borderId="683" xfId="4" applyNumberFormat="1" applyFont="1" applyBorder="1" applyAlignment="1">
      <alignment horizontal="center"/>
    </xf>
    <xf numFmtId="0" fontId="11" fillId="4" borderId="682" xfId="0" applyFont="1" applyFill="1" applyBorder="1" applyAlignment="1">
      <alignment horizontal="center"/>
    </xf>
    <xf numFmtId="168" fontId="7" fillId="4" borderId="683" xfId="1" applyNumberFormat="1" applyFont="1" applyFill="1" applyBorder="1" applyAlignment="1">
      <alignment horizontal="center"/>
    </xf>
    <xf numFmtId="0" fontId="11" fillId="5" borderId="682" xfId="0" applyFont="1" applyFill="1" applyBorder="1" applyAlignment="1">
      <alignment horizontal="center"/>
    </xf>
    <xf numFmtId="169" fontId="7" fillId="5" borderId="683" xfId="4" applyNumberFormat="1" applyFont="1" applyFill="1" applyBorder="1" applyAlignment="1">
      <alignment horizontal="center"/>
    </xf>
    <xf numFmtId="0" fontId="12" fillId="0" borderId="682" xfId="0" applyFont="1" applyBorder="1" applyAlignment="1">
      <alignment horizontal="center"/>
    </xf>
    <xf numFmtId="169" fontId="13" fillId="0" borderId="683" xfId="4" applyNumberFormat="1" applyFont="1" applyBorder="1" applyAlignment="1">
      <alignment horizontal="center"/>
    </xf>
    <xf numFmtId="168" fontId="7" fillId="4" borderId="683" xfId="1" applyNumberFormat="1" applyFont="1" applyFill="1" applyBorder="1" applyAlignment="1">
      <alignment horizontal="right"/>
    </xf>
    <xf numFmtId="1" fontId="7" fillId="0" borderId="684" xfId="4" applyNumberFormat="1" applyFont="1" applyBorder="1" applyAlignment="1">
      <alignment horizontal="center"/>
    </xf>
    <xf numFmtId="10" fontId="9" fillId="0" borderId="685" xfId="5" applyFont="1" applyBorder="1" applyAlignment="1">
      <alignment horizontal="center" vertical="center"/>
    </xf>
    <xf numFmtId="0" fontId="11" fillId="0" borderId="686" xfId="0" applyFont="1" applyBorder="1" applyAlignment="1">
      <alignment horizontal="center"/>
    </xf>
    <xf numFmtId="2" fontId="7" fillId="0" borderId="687" xfId="4" applyNumberFormat="1" applyFont="1" applyBorder="1" applyAlignment="1">
      <alignment horizontal="center"/>
    </xf>
    <xf numFmtId="0" fontId="11" fillId="4" borderId="686" xfId="0" applyFont="1" applyFill="1" applyBorder="1" applyAlignment="1">
      <alignment horizontal="center"/>
    </xf>
    <xf numFmtId="168" fontId="7" fillId="4" borderId="687" xfId="1" applyNumberFormat="1" applyFont="1" applyFill="1" applyBorder="1" applyAlignment="1">
      <alignment horizontal="center"/>
    </xf>
    <xf numFmtId="0" fontId="11" fillId="5" borderId="686" xfId="0" applyFont="1" applyFill="1" applyBorder="1" applyAlignment="1">
      <alignment horizontal="center"/>
    </xf>
    <xf numFmtId="169" fontId="7" fillId="5" borderId="687" xfId="4" applyNumberFormat="1" applyFont="1" applyFill="1" applyBorder="1" applyAlignment="1">
      <alignment horizontal="center"/>
    </xf>
    <xf numFmtId="0" fontId="12" fillId="0" borderId="686" xfId="0" applyFont="1" applyBorder="1" applyAlignment="1">
      <alignment horizontal="center"/>
    </xf>
    <xf numFmtId="169" fontId="13" fillId="0" borderId="687" xfId="4" applyNumberFormat="1" applyFont="1" applyBorder="1" applyAlignment="1">
      <alignment horizontal="center"/>
    </xf>
    <xf numFmtId="168" fontId="7" fillId="4" borderId="687" xfId="1" applyNumberFormat="1" applyFont="1" applyFill="1" applyBorder="1" applyAlignment="1">
      <alignment horizontal="right"/>
    </xf>
    <xf numFmtId="1" fontId="7" fillId="0" borderId="688" xfId="4" applyNumberFormat="1" applyFont="1" applyBorder="1" applyAlignment="1">
      <alignment horizontal="center"/>
    </xf>
    <xf numFmtId="10" fontId="9" fillId="0" borderId="689" xfId="5" applyFont="1" applyBorder="1" applyAlignment="1">
      <alignment horizontal="center" vertical="center"/>
    </xf>
    <xf numFmtId="0" fontId="11" fillId="0" borderId="690" xfId="0" applyFont="1" applyBorder="1" applyAlignment="1">
      <alignment horizontal="center"/>
    </xf>
    <xf numFmtId="2" fontId="7" fillId="0" borderId="691" xfId="4" applyNumberFormat="1" applyFont="1" applyBorder="1" applyAlignment="1">
      <alignment horizontal="center"/>
    </xf>
    <xf numFmtId="0" fontId="11" fillId="4" borderId="690" xfId="0" applyFont="1" applyFill="1" applyBorder="1" applyAlignment="1">
      <alignment horizontal="center"/>
    </xf>
    <xf numFmtId="168" fontId="7" fillId="4" borderId="691" xfId="1" applyNumberFormat="1" applyFont="1" applyFill="1" applyBorder="1" applyAlignment="1">
      <alignment horizontal="center"/>
    </xf>
    <xf numFmtId="0" fontId="11" fillId="5" borderId="690" xfId="0" applyFont="1" applyFill="1" applyBorder="1" applyAlignment="1">
      <alignment horizontal="center"/>
    </xf>
    <xf numFmtId="169" fontId="7" fillId="5" borderId="691" xfId="4" applyNumberFormat="1" applyFont="1" applyFill="1" applyBorder="1" applyAlignment="1">
      <alignment horizontal="center"/>
    </xf>
    <xf numFmtId="0" fontId="12" fillId="0" borderId="690" xfId="0" applyFont="1" applyBorder="1" applyAlignment="1">
      <alignment horizontal="center"/>
    </xf>
    <xf numFmtId="169" fontId="13" fillId="0" borderId="691" xfId="4" applyNumberFormat="1" applyFont="1" applyBorder="1" applyAlignment="1">
      <alignment horizontal="center"/>
    </xf>
    <xf numFmtId="168" fontId="7" fillId="4" borderId="691" xfId="1" applyNumberFormat="1" applyFont="1" applyFill="1" applyBorder="1" applyAlignment="1">
      <alignment horizontal="right"/>
    </xf>
    <xf numFmtId="1" fontId="7" fillId="0" borderId="692" xfId="4" applyNumberFormat="1" applyFont="1" applyBorder="1" applyAlignment="1">
      <alignment horizontal="center"/>
    </xf>
    <xf numFmtId="10" fontId="9" fillId="0" borderId="693" xfId="5" applyFont="1" applyBorder="1" applyAlignment="1">
      <alignment horizontal="center" vertical="center"/>
    </xf>
    <xf numFmtId="0" fontId="11" fillId="0" borderId="694" xfId="0" applyFont="1" applyBorder="1" applyAlignment="1">
      <alignment horizontal="center"/>
    </xf>
    <xf numFmtId="2" fontId="7" fillId="0" borderId="695" xfId="4" applyNumberFormat="1" applyFont="1" applyBorder="1" applyAlignment="1">
      <alignment horizontal="center"/>
    </xf>
    <xf numFmtId="0" fontId="11" fillId="4" borderId="694" xfId="0" applyFont="1" applyFill="1" applyBorder="1" applyAlignment="1">
      <alignment horizontal="center"/>
    </xf>
    <xf numFmtId="168" fontId="7" fillId="4" borderId="695" xfId="1" applyNumberFormat="1" applyFont="1" applyFill="1" applyBorder="1" applyAlignment="1">
      <alignment horizontal="center"/>
    </xf>
    <xf numFmtId="0" fontId="11" fillId="5" borderId="694" xfId="0" applyFont="1" applyFill="1" applyBorder="1" applyAlignment="1">
      <alignment horizontal="center"/>
    </xf>
    <xf numFmtId="169" fontId="7" fillId="5" borderId="695" xfId="4" applyNumberFormat="1" applyFont="1" applyFill="1" applyBorder="1" applyAlignment="1">
      <alignment horizontal="center"/>
    </xf>
    <xf numFmtId="0" fontId="12" fillId="0" borderId="694" xfId="0" applyFont="1" applyBorder="1" applyAlignment="1">
      <alignment horizontal="center"/>
    </xf>
    <xf numFmtId="169" fontId="13" fillId="0" borderId="695" xfId="4" applyNumberFormat="1" applyFont="1" applyBorder="1" applyAlignment="1">
      <alignment horizontal="center"/>
    </xf>
    <xf numFmtId="168" fontId="7" fillId="4" borderId="695" xfId="1" applyNumberFormat="1" applyFont="1" applyFill="1" applyBorder="1" applyAlignment="1">
      <alignment horizontal="right"/>
    </xf>
    <xf numFmtId="1" fontId="7" fillId="0" borderId="696" xfId="4" applyNumberFormat="1" applyFont="1" applyBorder="1" applyAlignment="1">
      <alignment horizontal="center"/>
    </xf>
    <xf numFmtId="10" fontId="9" fillId="0" borderId="697" xfId="5" applyFont="1" applyBorder="1" applyAlignment="1">
      <alignment horizontal="center" vertical="center"/>
    </xf>
    <xf numFmtId="0" fontId="11" fillId="0" borderId="698" xfId="0" applyFont="1" applyBorder="1" applyAlignment="1">
      <alignment horizontal="center"/>
    </xf>
    <xf numFmtId="2" fontId="7" fillId="0" borderId="699" xfId="4" applyNumberFormat="1" applyFont="1" applyBorder="1" applyAlignment="1">
      <alignment horizontal="center"/>
    </xf>
    <xf numFmtId="0" fontId="11" fillId="4" borderId="698" xfId="0" applyFont="1" applyFill="1" applyBorder="1" applyAlignment="1">
      <alignment horizontal="center"/>
    </xf>
    <xf numFmtId="168" fontId="7" fillId="4" borderId="699" xfId="1" applyNumberFormat="1" applyFont="1" applyFill="1" applyBorder="1" applyAlignment="1">
      <alignment horizontal="center"/>
    </xf>
    <xf numFmtId="0" fontId="11" fillId="5" borderId="698" xfId="0" applyFont="1" applyFill="1" applyBorder="1" applyAlignment="1">
      <alignment horizontal="center"/>
    </xf>
    <xf numFmtId="169" fontId="7" fillId="5" borderId="699" xfId="4" applyNumberFormat="1" applyFont="1" applyFill="1" applyBorder="1" applyAlignment="1">
      <alignment horizontal="center"/>
    </xf>
    <xf numFmtId="0" fontId="12" fillId="0" borderId="698" xfId="0" applyFont="1" applyBorder="1" applyAlignment="1">
      <alignment horizontal="center"/>
    </xf>
    <xf numFmtId="169" fontId="13" fillId="0" borderId="699" xfId="4" applyNumberFormat="1" applyFont="1" applyBorder="1" applyAlignment="1">
      <alignment horizontal="center"/>
    </xf>
    <xf numFmtId="168" fontId="7" fillId="4" borderId="699" xfId="1" applyNumberFormat="1" applyFont="1" applyFill="1" applyBorder="1" applyAlignment="1">
      <alignment horizontal="right"/>
    </xf>
    <xf numFmtId="1" fontId="7" fillId="0" borderId="700" xfId="4" applyNumberFormat="1" applyFont="1" applyBorder="1" applyAlignment="1">
      <alignment horizontal="center"/>
    </xf>
    <xf numFmtId="10" fontId="9" fillId="0" borderId="701" xfId="5" applyFont="1" applyBorder="1" applyAlignment="1">
      <alignment horizontal="center" vertical="center"/>
    </xf>
    <xf numFmtId="0" fontId="11" fillId="0" borderId="702" xfId="0" applyFont="1" applyBorder="1" applyAlignment="1">
      <alignment horizontal="center"/>
    </xf>
    <xf numFmtId="2" fontId="7" fillId="0" borderId="703" xfId="4" applyNumberFormat="1" applyFont="1" applyBorder="1" applyAlignment="1">
      <alignment horizontal="center"/>
    </xf>
    <xf numFmtId="0" fontId="11" fillId="4" borderId="702" xfId="0" applyFont="1" applyFill="1" applyBorder="1" applyAlignment="1">
      <alignment horizontal="center"/>
    </xf>
    <xf numFmtId="168" fontId="7" fillId="4" borderId="703" xfId="1" applyNumberFormat="1" applyFont="1" applyFill="1" applyBorder="1" applyAlignment="1">
      <alignment horizontal="center"/>
    </xf>
    <xf numFmtId="0" fontId="11" fillId="5" borderId="702" xfId="0" applyFont="1" applyFill="1" applyBorder="1" applyAlignment="1">
      <alignment horizontal="center"/>
    </xf>
    <xf numFmtId="169" fontId="7" fillId="5" borderId="703" xfId="4" applyNumberFormat="1" applyFont="1" applyFill="1" applyBorder="1" applyAlignment="1">
      <alignment horizontal="center"/>
    </xf>
    <xf numFmtId="0" fontId="12" fillId="0" borderId="702" xfId="0" applyFont="1" applyBorder="1" applyAlignment="1">
      <alignment horizontal="center"/>
    </xf>
    <xf numFmtId="169" fontId="13" fillId="0" borderId="703" xfId="4" applyNumberFormat="1" applyFont="1" applyBorder="1" applyAlignment="1">
      <alignment horizontal="center"/>
    </xf>
    <xf numFmtId="168" fontId="7" fillId="4" borderId="703" xfId="1" applyNumberFormat="1" applyFont="1" applyFill="1" applyBorder="1" applyAlignment="1">
      <alignment horizontal="right"/>
    </xf>
    <xf numFmtId="1" fontId="7" fillId="0" borderId="704" xfId="4" applyNumberFormat="1" applyFont="1" applyBorder="1" applyAlignment="1">
      <alignment horizontal="center"/>
    </xf>
    <xf numFmtId="10" fontId="9" fillId="0" borderId="705" xfId="5" applyFont="1" applyBorder="1" applyAlignment="1">
      <alignment horizontal="center" vertical="center"/>
    </xf>
    <xf numFmtId="0" fontId="11" fillId="0" borderId="706" xfId="0" applyFont="1" applyBorder="1" applyAlignment="1">
      <alignment horizontal="center"/>
    </xf>
    <xf numFmtId="2" fontId="7" fillId="0" borderId="707" xfId="4" applyNumberFormat="1" applyFont="1" applyBorder="1" applyAlignment="1">
      <alignment horizontal="center"/>
    </xf>
    <xf numFmtId="0" fontId="11" fillId="4" borderId="706" xfId="0" applyFont="1" applyFill="1" applyBorder="1" applyAlignment="1">
      <alignment horizontal="center"/>
    </xf>
    <xf numFmtId="168" fontId="7" fillId="4" borderId="707" xfId="1" applyNumberFormat="1" applyFont="1" applyFill="1" applyBorder="1" applyAlignment="1">
      <alignment horizontal="center"/>
    </xf>
    <xf numFmtId="0" fontId="11" fillId="5" borderId="706" xfId="0" applyFont="1" applyFill="1" applyBorder="1" applyAlignment="1">
      <alignment horizontal="center"/>
    </xf>
    <xf numFmtId="169" fontId="7" fillId="5" borderId="707" xfId="4" applyNumberFormat="1" applyFont="1" applyFill="1" applyBorder="1" applyAlignment="1">
      <alignment horizontal="center"/>
    </xf>
    <xf numFmtId="0" fontId="12" fillId="0" borderId="706" xfId="0" applyFont="1" applyBorder="1" applyAlignment="1">
      <alignment horizontal="center"/>
    </xf>
    <xf numFmtId="169" fontId="13" fillId="0" borderId="707" xfId="4" applyNumberFormat="1" applyFont="1" applyBorder="1" applyAlignment="1">
      <alignment horizontal="center"/>
    </xf>
    <xf numFmtId="168" fontId="7" fillId="4" borderId="707" xfId="1" applyNumberFormat="1" applyFont="1" applyFill="1" applyBorder="1" applyAlignment="1">
      <alignment horizontal="right"/>
    </xf>
    <xf numFmtId="1" fontId="7" fillId="0" borderId="708" xfId="4" applyNumberFormat="1" applyFont="1" applyBorder="1" applyAlignment="1">
      <alignment horizontal="center"/>
    </xf>
    <xf numFmtId="10" fontId="9" fillId="0" borderId="709" xfId="5" applyFont="1" applyBorder="1" applyAlignment="1">
      <alignment horizontal="center" vertical="center"/>
    </xf>
    <xf numFmtId="0" fontId="11" fillId="0" borderId="710" xfId="0" applyFont="1" applyBorder="1" applyAlignment="1">
      <alignment horizontal="center"/>
    </xf>
    <xf numFmtId="2" fontId="7" fillId="0" borderId="711" xfId="4" applyNumberFormat="1" applyFont="1" applyBorder="1" applyAlignment="1">
      <alignment horizontal="center"/>
    </xf>
    <xf numFmtId="0" fontId="11" fillId="4" borderId="710" xfId="0" applyFont="1" applyFill="1" applyBorder="1" applyAlignment="1">
      <alignment horizontal="center"/>
    </xf>
    <xf numFmtId="168" fontId="7" fillId="4" borderId="711" xfId="1" applyNumberFormat="1" applyFont="1" applyFill="1" applyBorder="1" applyAlignment="1">
      <alignment horizontal="center"/>
    </xf>
    <xf numFmtId="0" fontId="11" fillId="5" borderId="710" xfId="0" applyFont="1" applyFill="1" applyBorder="1" applyAlignment="1">
      <alignment horizontal="center"/>
    </xf>
    <xf numFmtId="169" fontId="7" fillId="5" borderId="711" xfId="4" applyNumberFormat="1" applyFont="1" applyFill="1" applyBorder="1" applyAlignment="1">
      <alignment horizontal="center"/>
    </xf>
    <xf numFmtId="0" fontId="12" fillId="0" borderId="710" xfId="0" applyFont="1" applyBorder="1" applyAlignment="1">
      <alignment horizontal="center"/>
    </xf>
    <xf numFmtId="169" fontId="13" fillId="0" borderId="711" xfId="4" applyNumberFormat="1" applyFont="1" applyBorder="1" applyAlignment="1">
      <alignment horizontal="center"/>
    </xf>
    <xf numFmtId="168" fontId="7" fillId="4" borderId="711" xfId="1" applyNumberFormat="1" applyFont="1" applyFill="1" applyBorder="1" applyAlignment="1">
      <alignment horizontal="right"/>
    </xf>
    <xf numFmtId="1" fontId="7" fillId="0" borderId="712" xfId="4" applyNumberFormat="1" applyFont="1" applyBorder="1" applyAlignment="1">
      <alignment horizontal="center"/>
    </xf>
    <xf numFmtId="10" fontId="9" fillId="0" borderId="713" xfId="5" applyFont="1" applyBorder="1" applyAlignment="1">
      <alignment horizontal="center" vertical="center"/>
    </xf>
    <xf numFmtId="0" fontId="11" fillId="0" borderId="714" xfId="0" applyFont="1" applyBorder="1" applyAlignment="1">
      <alignment horizontal="center"/>
    </xf>
    <xf numFmtId="2" fontId="7" fillId="0" borderId="715" xfId="4" applyNumberFormat="1" applyFont="1" applyBorder="1" applyAlignment="1">
      <alignment horizontal="center"/>
    </xf>
    <xf numFmtId="0" fontId="11" fillId="4" borderId="714" xfId="0" applyFont="1" applyFill="1" applyBorder="1" applyAlignment="1">
      <alignment horizontal="center"/>
    </xf>
    <xf numFmtId="168" fontId="7" fillId="4" borderId="715" xfId="1" applyNumberFormat="1" applyFont="1" applyFill="1" applyBorder="1" applyAlignment="1">
      <alignment horizontal="center"/>
    </xf>
    <xf numFmtId="0" fontId="11" fillId="5" borderId="714" xfId="0" applyFont="1" applyFill="1" applyBorder="1" applyAlignment="1">
      <alignment horizontal="center"/>
    </xf>
    <xf numFmtId="169" fontId="7" fillId="5" borderId="715" xfId="4" applyNumberFormat="1" applyFont="1" applyFill="1" applyBorder="1" applyAlignment="1">
      <alignment horizontal="center"/>
    </xf>
    <xf numFmtId="0" fontId="12" fillId="0" borderId="714" xfId="0" applyFont="1" applyBorder="1" applyAlignment="1">
      <alignment horizontal="center"/>
    </xf>
    <xf numFmtId="169" fontId="13" fillId="0" borderId="715" xfId="4" applyNumberFormat="1" applyFont="1" applyBorder="1" applyAlignment="1">
      <alignment horizontal="center"/>
    </xf>
    <xf numFmtId="168" fontId="7" fillId="4" borderId="715" xfId="1" applyNumberFormat="1" applyFont="1" applyFill="1" applyBorder="1" applyAlignment="1">
      <alignment horizontal="right"/>
    </xf>
    <xf numFmtId="1" fontId="7" fillId="0" borderId="716" xfId="4" applyNumberFormat="1" applyFont="1" applyBorder="1" applyAlignment="1">
      <alignment horizontal="center"/>
    </xf>
    <xf numFmtId="10" fontId="9" fillId="0" borderId="717" xfId="5" applyFont="1" applyBorder="1" applyAlignment="1">
      <alignment horizontal="center" vertical="center"/>
    </xf>
    <xf numFmtId="0" fontId="11" fillId="0" borderId="718" xfId="0" applyFont="1" applyBorder="1" applyAlignment="1">
      <alignment horizontal="center"/>
    </xf>
    <xf numFmtId="2" fontId="7" fillId="0" borderId="719" xfId="4" applyNumberFormat="1" applyFont="1" applyBorder="1" applyAlignment="1">
      <alignment horizontal="center"/>
    </xf>
    <xf numFmtId="0" fontId="11" fillId="4" borderId="718" xfId="0" applyFont="1" applyFill="1" applyBorder="1" applyAlignment="1">
      <alignment horizontal="center"/>
    </xf>
    <xf numFmtId="168" fontId="7" fillId="4" borderId="719" xfId="1" applyNumberFormat="1" applyFont="1" applyFill="1" applyBorder="1" applyAlignment="1">
      <alignment horizontal="center"/>
    </xf>
    <xf numFmtId="0" fontId="11" fillId="5" borderId="718" xfId="0" applyFont="1" applyFill="1" applyBorder="1" applyAlignment="1">
      <alignment horizontal="center"/>
    </xf>
    <xf numFmtId="169" fontId="7" fillId="5" borderId="719" xfId="4" applyNumberFormat="1" applyFont="1" applyFill="1" applyBorder="1" applyAlignment="1">
      <alignment horizontal="center"/>
    </xf>
    <xf numFmtId="0" fontId="12" fillId="0" borderId="718" xfId="0" applyFont="1" applyBorder="1" applyAlignment="1">
      <alignment horizontal="center"/>
    </xf>
    <xf numFmtId="169" fontId="13" fillId="0" borderId="719" xfId="4" applyNumberFormat="1" applyFont="1" applyBorder="1" applyAlignment="1">
      <alignment horizontal="center"/>
    </xf>
    <xf numFmtId="168" fontId="7" fillId="4" borderId="719" xfId="1" applyNumberFormat="1" applyFont="1" applyFill="1" applyBorder="1" applyAlignment="1">
      <alignment horizontal="right"/>
    </xf>
    <xf numFmtId="1" fontId="7" fillId="0" borderId="720" xfId="4" applyNumberFormat="1" applyFont="1" applyBorder="1" applyAlignment="1">
      <alignment horizontal="center"/>
    </xf>
    <xf numFmtId="10" fontId="9" fillId="0" borderId="721" xfId="5" applyFont="1" applyBorder="1" applyAlignment="1">
      <alignment horizontal="center" vertical="center"/>
    </xf>
    <xf numFmtId="0" fontId="11" fillId="0" borderId="722" xfId="0" applyFont="1" applyBorder="1" applyAlignment="1">
      <alignment horizontal="center"/>
    </xf>
    <xf numFmtId="2" fontId="7" fillId="0" borderId="723" xfId="4" applyNumberFormat="1" applyFont="1" applyBorder="1" applyAlignment="1">
      <alignment horizontal="center"/>
    </xf>
    <xf numFmtId="0" fontId="11" fillId="4" borderId="722" xfId="0" applyFont="1" applyFill="1" applyBorder="1" applyAlignment="1">
      <alignment horizontal="center"/>
    </xf>
    <xf numFmtId="168" fontId="7" fillId="4" borderId="723" xfId="1" applyNumberFormat="1" applyFont="1" applyFill="1" applyBorder="1" applyAlignment="1">
      <alignment horizontal="center"/>
    </xf>
    <xf numFmtId="0" fontId="11" fillId="5" borderId="722" xfId="0" applyFont="1" applyFill="1" applyBorder="1" applyAlignment="1">
      <alignment horizontal="center"/>
    </xf>
    <xf numFmtId="169" fontId="7" fillId="5" borderId="723" xfId="4" applyNumberFormat="1" applyFont="1" applyFill="1" applyBorder="1" applyAlignment="1">
      <alignment horizontal="center"/>
    </xf>
    <xf numFmtId="0" fontId="12" fillId="0" borderId="722" xfId="0" applyFont="1" applyBorder="1" applyAlignment="1">
      <alignment horizontal="center"/>
    </xf>
    <xf numFmtId="169" fontId="13" fillId="0" borderId="723" xfId="4" applyNumberFormat="1" applyFont="1" applyBorder="1" applyAlignment="1">
      <alignment horizontal="center"/>
    </xf>
    <xf numFmtId="168" fontId="7" fillId="4" borderId="723" xfId="1" applyNumberFormat="1" applyFont="1" applyFill="1" applyBorder="1" applyAlignment="1">
      <alignment horizontal="right"/>
    </xf>
    <xf numFmtId="1" fontId="7" fillId="0" borderId="724" xfId="4" applyNumberFormat="1" applyFont="1" applyBorder="1" applyAlignment="1">
      <alignment horizontal="center"/>
    </xf>
    <xf numFmtId="10" fontId="9" fillId="0" borderId="725" xfId="5" applyFont="1" applyBorder="1" applyAlignment="1">
      <alignment horizontal="center" vertical="center"/>
    </xf>
    <xf numFmtId="0" fontId="11" fillId="0" borderId="726" xfId="0" applyFont="1" applyBorder="1" applyAlignment="1">
      <alignment horizontal="center"/>
    </xf>
    <xf numFmtId="2" fontId="7" fillId="0" borderId="727" xfId="4" applyNumberFormat="1" applyFont="1" applyBorder="1" applyAlignment="1">
      <alignment horizontal="center"/>
    </xf>
    <xf numFmtId="0" fontId="11" fillId="4" borderId="726" xfId="0" applyFont="1" applyFill="1" applyBorder="1" applyAlignment="1">
      <alignment horizontal="center"/>
    </xf>
    <xf numFmtId="168" fontId="7" fillId="4" borderId="727" xfId="1" applyNumberFormat="1" applyFont="1" applyFill="1" applyBorder="1" applyAlignment="1">
      <alignment horizontal="center"/>
    </xf>
    <xf numFmtId="0" fontId="11" fillId="5" borderId="726" xfId="0" applyFont="1" applyFill="1" applyBorder="1" applyAlignment="1">
      <alignment horizontal="center"/>
    </xf>
    <xf numFmtId="169" fontId="7" fillId="5" borderId="727" xfId="4" applyNumberFormat="1" applyFont="1" applyFill="1" applyBorder="1" applyAlignment="1">
      <alignment horizontal="center"/>
    </xf>
    <xf numFmtId="0" fontId="12" fillId="0" borderId="726" xfId="0" applyFont="1" applyBorder="1" applyAlignment="1">
      <alignment horizontal="center"/>
    </xf>
    <xf numFmtId="169" fontId="13" fillId="0" borderId="727" xfId="4" applyNumberFormat="1" applyFont="1" applyBorder="1" applyAlignment="1">
      <alignment horizontal="center"/>
    </xf>
    <xf numFmtId="168" fontId="7" fillId="4" borderId="727" xfId="1" applyNumberFormat="1" applyFont="1" applyFill="1" applyBorder="1" applyAlignment="1">
      <alignment horizontal="right"/>
    </xf>
    <xf numFmtId="1" fontId="7" fillId="0" borderId="728" xfId="4" applyNumberFormat="1" applyFont="1" applyBorder="1" applyAlignment="1">
      <alignment horizontal="center"/>
    </xf>
    <xf numFmtId="10" fontId="9" fillId="0" borderId="729" xfId="5" applyFont="1" applyBorder="1" applyAlignment="1">
      <alignment horizontal="center" vertical="center"/>
    </xf>
    <xf numFmtId="0" fontId="11" fillId="0" borderId="730" xfId="0" applyFont="1" applyBorder="1" applyAlignment="1">
      <alignment horizontal="center"/>
    </xf>
    <xf numFmtId="2" fontId="7" fillId="0" borderId="731" xfId="4" applyNumberFormat="1" applyFont="1" applyBorder="1" applyAlignment="1">
      <alignment horizontal="center"/>
    </xf>
    <xf numFmtId="0" fontId="11" fillId="4" borderId="730" xfId="0" applyFont="1" applyFill="1" applyBorder="1" applyAlignment="1">
      <alignment horizontal="center"/>
    </xf>
    <xf numFmtId="168" fontId="7" fillId="4" borderId="731" xfId="1" applyNumberFormat="1" applyFont="1" applyFill="1" applyBorder="1" applyAlignment="1">
      <alignment horizontal="center"/>
    </xf>
    <xf numFmtId="0" fontId="11" fillId="5" borderId="730" xfId="0" applyFont="1" applyFill="1" applyBorder="1" applyAlignment="1">
      <alignment horizontal="center"/>
    </xf>
    <xf numFmtId="169" fontId="7" fillId="5" borderId="731" xfId="4" applyNumberFormat="1" applyFont="1" applyFill="1" applyBorder="1" applyAlignment="1">
      <alignment horizontal="center"/>
    </xf>
    <xf numFmtId="0" fontId="12" fillId="0" borderId="730" xfId="0" applyFont="1" applyBorder="1" applyAlignment="1">
      <alignment horizontal="center"/>
    </xf>
    <xf numFmtId="169" fontId="13" fillId="0" borderId="731" xfId="4" applyNumberFormat="1" applyFont="1" applyBorder="1" applyAlignment="1">
      <alignment horizontal="center"/>
    </xf>
    <xf numFmtId="168" fontId="7" fillId="4" borderId="731" xfId="1" applyNumberFormat="1" applyFont="1" applyFill="1" applyBorder="1" applyAlignment="1">
      <alignment horizontal="right"/>
    </xf>
    <xf numFmtId="1" fontId="7" fillId="0" borderId="732" xfId="4" applyNumberFormat="1" applyFont="1" applyBorder="1" applyAlignment="1">
      <alignment horizontal="center"/>
    </xf>
    <xf numFmtId="10" fontId="9" fillId="0" borderId="733" xfId="5" applyFont="1" applyBorder="1" applyAlignment="1">
      <alignment horizontal="center" vertical="center"/>
    </xf>
    <xf numFmtId="0" fontId="11" fillId="0" borderId="734" xfId="0" applyFont="1" applyBorder="1" applyAlignment="1">
      <alignment horizontal="center"/>
    </xf>
    <xf numFmtId="2" fontId="7" fillId="0" borderId="735" xfId="4" applyNumberFormat="1" applyFont="1" applyBorder="1" applyAlignment="1">
      <alignment horizontal="center"/>
    </xf>
    <xf numFmtId="0" fontId="11" fillId="4" borderId="734" xfId="0" applyFont="1" applyFill="1" applyBorder="1" applyAlignment="1">
      <alignment horizontal="center"/>
    </xf>
    <xf numFmtId="168" fontId="7" fillId="4" borderId="735" xfId="1" applyNumberFormat="1" applyFont="1" applyFill="1" applyBorder="1" applyAlignment="1">
      <alignment horizontal="center"/>
    </xf>
    <xf numFmtId="0" fontId="11" fillId="5" borderId="734" xfId="0" applyFont="1" applyFill="1" applyBorder="1" applyAlignment="1">
      <alignment horizontal="center"/>
    </xf>
    <xf numFmtId="169" fontId="7" fillId="5" borderId="735" xfId="4" applyNumberFormat="1" applyFont="1" applyFill="1" applyBorder="1" applyAlignment="1">
      <alignment horizontal="center"/>
    </xf>
    <xf numFmtId="0" fontId="12" fillId="0" borderId="734" xfId="0" applyFont="1" applyBorder="1" applyAlignment="1">
      <alignment horizontal="center"/>
    </xf>
    <xf numFmtId="169" fontId="13" fillId="0" borderId="735" xfId="4" applyNumberFormat="1" applyFont="1" applyBorder="1" applyAlignment="1">
      <alignment horizontal="center"/>
    </xf>
    <xf numFmtId="168" fontId="7" fillId="4" borderId="735" xfId="1" applyNumberFormat="1" applyFont="1" applyFill="1" applyBorder="1" applyAlignment="1">
      <alignment horizontal="right"/>
    </xf>
    <xf numFmtId="1" fontId="7" fillId="0" borderId="736" xfId="4" applyNumberFormat="1" applyFont="1" applyBorder="1" applyAlignment="1">
      <alignment horizontal="center"/>
    </xf>
    <xf numFmtId="10" fontId="9" fillId="0" borderId="737" xfId="5" applyFont="1" applyBorder="1" applyAlignment="1">
      <alignment horizontal="center" vertical="center"/>
    </xf>
    <xf numFmtId="0" fontId="11" fillId="0" borderId="738" xfId="0" applyFont="1" applyBorder="1" applyAlignment="1">
      <alignment horizontal="center"/>
    </xf>
    <xf numFmtId="2" fontId="7" fillId="0" borderId="739" xfId="4" applyNumberFormat="1" applyFont="1" applyBorder="1" applyAlignment="1">
      <alignment horizontal="center"/>
    </xf>
    <xf numFmtId="0" fontId="11" fillId="4" borderId="738" xfId="0" applyFont="1" applyFill="1" applyBorder="1" applyAlignment="1">
      <alignment horizontal="center"/>
    </xf>
    <xf numFmtId="168" fontId="7" fillId="4" borderId="739" xfId="1" applyNumberFormat="1" applyFont="1" applyFill="1" applyBorder="1" applyAlignment="1">
      <alignment horizontal="center"/>
    </xf>
    <xf numFmtId="0" fontId="11" fillId="5" borderId="738" xfId="0" applyFont="1" applyFill="1" applyBorder="1" applyAlignment="1">
      <alignment horizontal="center"/>
    </xf>
    <xf numFmtId="169" fontId="7" fillId="5" borderId="739" xfId="4" applyNumberFormat="1" applyFont="1" applyFill="1" applyBorder="1" applyAlignment="1">
      <alignment horizontal="center"/>
    </xf>
    <xf numFmtId="0" fontId="12" fillId="0" borderId="738" xfId="0" applyFont="1" applyBorder="1" applyAlignment="1">
      <alignment horizontal="center"/>
    </xf>
    <xf numFmtId="169" fontId="13" fillId="0" borderId="739" xfId="4" applyNumberFormat="1" applyFont="1" applyBorder="1" applyAlignment="1">
      <alignment horizontal="center"/>
    </xf>
    <xf numFmtId="168" fontId="7" fillId="4" borderId="739" xfId="1" applyNumberFormat="1" applyFont="1" applyFill="1" applyBorder="1" applyAlignment="1">
      <alignment horizontal="right"/>
    </xf>
    <xf numFmtId="1" fontId="7" fillId="0" borderId="740" xfId="4" applyNumberFormat="1" applyFont="1" applyBorder="1" applyAlignment="1">
      <alignment horizontal="center"/>
    </xf>
    <xf numFmtId="10" fontId="9" fillId="0" borderId="741" xfId="5" applyFont="1" applyBorder="1" applyAlignment="1">
      <alignment horizontal="center" vertical="center"/>
    </xf>
    <xf numFmtId="0" fontId="11" fillId="0" borderId="742" xfId="0" applyFont="1" applyBorder="1" applyAlignment="1">
      <alignment horizontal="center"/>
    </xf>
    <xf numFmtId="2" fontId="7" fillId="0" borderId="743" xfId="4" applyNumberFormat="1" applyFont="1" applyBorder="1" applyAlignment="1">
      <alignment horizontal="center"/>
    </xf>
    <xf numFmtId="0" fontId="11" fillId="4" borderId="742" xfId="0" applyFont="1" applyFill="1" applyBorder="1" applyAlignment="1">
      <alignment horizontal="center"/>
    </xf>
    <xf numFmtId="168" fontId="7" fillId="4" borderId="743" xfId="1" applyNumberFormat="1" applyFont="1" applyFill="1" applyBorder="1" applyAlignment="1">
      <alignment horizontal="center"/>
    </xf>
    <xf numFmtId="0" fontId="11" fillId="5" borderId="742" xfId="0" applyFont="1" applyFill="1" applyBorder="1" applyAlignment="1">
      <alignment horizontal="center"/>
    </xf>
    <xf numFmtId="169" fontId="7" fillId="5" borderId="743" xfId="4" applyNumberFormat="1" applyFont="1" applyFill="1" applyBorder="1" applyAlignment="1">
      <alignment horizontal="center"/>
    </xf>
    <xf numFmtId="0" fontId="12" fillId="0" borderId="742" xfId="0" applyFont="1" applyBorder="1" applyAlignment="1">
      <alignment horizontal="center"/>
    </xf>
    <xf numFmtId="169" fontId="13" fillId="0" borderId="743" xfId="4" applyNumberFormat="1" applyFont="1" applyBorder="1" applyAlignment="1">
      <alignment horizontal="center"/>
    </xf>
    <xf numFmtId="168" fontId="7" fillId="4" borderId="743" xfId="1" applyNumberFormat="1" applyFont="1" applyFill="1" applyBorder="1" applyAlignment="1">
      <alignment horizontal="right"/>
    </xf>
    <xf numFmtId="1" fontId="7" fillId="0" borderId="744" xfId="4" applyNumberFormat="1" applyFont="1" applyBorder="1" applyAlignment="1">
      <alignment horizontal="center"/>
    </xf>
    <xf numFmtId="10" fontId="9" fillId="0" borderId="745" xfId="5" applyFont="1" applyBorder="1" applyAlignment="1">
      <alignment horizontal="center" vertical="center"/>
    </xf>
    <xf numFmtId="0" fontId="11" fillId="0" borderId="746" xfId="0" applyFont="1" applyBorder="1" applyAlignment="1">
      <alignment horizontal="center"/>
    </xf>
    <xf numFmtId="2" fontId="7" fillId="0" borderId="747" xfId="4" applyNumberFormat="1" applyFont="1" applyBorder="1" applyAlignment="1">
      <alignment horizontal="center"/>
    </xf>
    <xf numFmtId="0" fontId="11" fillId="4" borderId="746" xfId="0" applyFont="1" applyFill="1" applyBorder="1" applyAlignment="1">
      <alignment horizontal="center"/>
    </xf>
    <xf numFmtId="168" fontId="7" fillId="4" borderId="747" xfId="1" applyNumberFormat="1" applyFont="1" applyFill="1" applyBorder="1" applyAlignment="1">
      <alignment horizontal="center"/>
    </xf>
    <xf numFmtId="0" fontId="11" fillId="5" borderId="746" xfId="0" applyFont="1" applyFill="1" applyBorder="1" applyAlignment="1">
      <alignment horizontal="center"/>
    </xf>
    <xf numFmtId="169" fontId="7" fillId="5" borderId="747" xfId="4" applyNumberFormat="1" applyFont="1" applyFill="1" applyBorder="1" applyAlignment="1">
      <alignment horizontal="center"/>
    </xf>
    <xf numFmtId="0" fontId="12" fillId="0" borderId="746" xfId="0" applyFont="1" applyBorder="1" applyAlignment="1">
      <alignment horizontal="center"/>
    </xf>
    <xf numFmtId="169" fontId="13" fillId="0" borderId="747" xfId="4" applyNumberFormat="1" applyFont="1" applyBorder="1" applyAlignment="1">
      <alignment horizontal="center"/>
    </xf>
    <xf numFmtId="168" fontId="7" fillId="4" borderId="747" xfId="1" applyNumberFormat="1" applyFont="1" applyFill="1" applyBorder="1" applyAlignment="1">
      <alignment horizontal="right"/>
    </xf>
    <xf numFmtId="1" fontId="7" fillId="0" borderId="748" xfId="4" applyNumberFormat="1" applyFont="1" applyBorder="1" applyAlignment="1">
      <alignment horizontal="center"/>
    </xf>
    <xf numFmtId="10" fontId="9" fillId="0" borderId="749" xfId="5" applyFont="1" applyBorder="1" applyAlignment="1">
      <alignment horizontal="center" vertical="center"/>
    </xf>
    <xf numFmtId="0" fontId="11" fillId="0" borderId="750" xfId="0" applyFont="1" applyBorder="1" applyAlignment="1">
      <alignment horizontal="center"/>
    </xf>
    <xf numFmtId="2" fontId="7" fillId="0" borderId="751" xfId="4" applyNumberFormat="1" applyFont="1" applyBorder="1" applyAlignment="1">
      <alignment horizontal="center"/>
    </xf>
    <xf numFmtId="0" fontId="11" fillId="4" borderId="750" xfId="0" applyFont="1" applyFill="1" applyBorder="1" applyAlignment="1">
      <alignment horizontal="center"/>
    </xf>
    <xf numFmtId="168" fontId="7" fillId="4" borderId="751" xfId="1" applyNumberFormat="1" applyFont="1" applyFill="1" applyBorder="1" applyAlignment="1">
      <alignment horizontal="center"/>
    </xf>
    <xf numFmtId="0" fontId="11" fillId="5" borderId="750" xfId="0" applyFont="1" applyFill="1" applyBorder="1" applyAlignment="1">
      <alignment horizontal="center"/>
    </xf>
    <xf numFmtId="169" fontId="7" fillId="5" borderId="751" xfId="4" applyNumberFormat="1" applyFont="1" applyFill="1" applyBorder="1" applyAlignment="1">
      <alignment horizontal="center"/>
    </xf>
    <xf numFmtId="0" fontId="12" fillId="0" borderId="750" xfId="0" applyFont="1" applyBorder="1" applyAlignment="1">
      <alignment horizontal="center"/>
    </xf>
    <xf numFmtId="169" fontId="13" fillId="0" borderId="751" xfId="4" applyNumberFormat="1" applyFont="1" applyBorder="1" applyAlignment="1">
      <alignment horizontal="center"/>
    </xf>
    <xf numFmtId="168" fontId="7" fillId="4" borderId="751" xfId="1" applyNumberFormat="1" applyFont="1" applyFill="1" applyBorder="1" applyAlignment="1">
      <alignment horizontal="right"/>
    </xf>
    <xf numFmtId="1" fontId="7" fillId="0" borderId="752" xfId="4" applyNumberFormat="1" applyFont="1" applyBorder="1" applyAlignment="1">
      <alignment horizontal="center"/>
    </xf>
    <xf numFmtId="10" fontId="9" fillId="0" borderId="753" xfId="5" applyFont="1" applyBorder="1" applyAlignment="1">
      <alignment horizontal="center" vertical="center"/>
    </xf>
    <xf numFmtId="0" fontId="11" fillId="0" borderId="754" xfId="0" applyFont="1" applyBorder="1" applyAlignment="1">
      <alignment horizontal="center"/>
    </xf>
    <xf numFmtId="2" fontId="7" fillId="0" borderId="755" xfId="4" applyNumberFormat="1" applyFont="1" applyBorder="1" applyAlignment="1">
      <alignment horizontal="center"/>
    </xf>
    <xf numFmtId="0" fontId="11" fillId="4" borderId="754" xfId="0" applyFont="1" applyFill="1" applyBorder="1" applyAlignment="1">
      <alignment horizontal="center"/>
    </xf>
    <xf numFmtId="168" fontId="7" fillId="4" borderId="755" xfId="1" applyNumberFormat="1" applyFont="1" applyFill="1" applyBorder="1" applyAlignment="1">
      <alignment horizontal="center"/>
    </xf>
    <xf numFmtId="0" fontId="11" fillId="5" borderId="754" xfId="0" applyFont="1" applyFill="1" applyBorder="1" applyAlignment="1">
      <alignment horizontal="center"/>
    </xf>
    <xf numFmtId="169" fontId="7" fillId="5" borderId="755" xfId="4" applyNumberFormat="1" applyFont="1" applyFill="1" applyBorder="1" applyAlignment="1">
      <alignment horizontal="center"/>
    </xf>
    <xf numFmtId="0" fontId="12" fillId="0" borderId="754" xfId="0" applyFont="1" applyBorder="1" applyAlignment="1">
      <alignment horizontal="center"/>
    </xf>
    <xf numFmtId="169" fontId="13" fillId="0" borderId="755" xfId="4" applyNumberFormat="1" applyFont="1" applyBorder="1" applyAlignment="1">
      <alignment horizontal="center"/>
    </xf>
    <xf numFmtId="168" fontId="7" fillId="4" borderId="755" xfId="1" applyNumberFormat="1" applyFont="1" applyFill="1" applyBorder="1" applyAlignment="1">
      <alignment horizontal="right"/>
    </xf>
    <xf numFmtId="1" fontId="7" fillId="0" borderId="756" xfId="4" applyNumberFormat="1" applyFont="1" applyBorder="1" applyAlignment="1">
      <alignment horizontal="center"/>
    </xf>
    <xf numFmtId="10" fontId="9" fillId="0" borderId="757" xfId="5" applyFont="1" applyBorder="1" applyAlignment="1">
      <alignment horizontal="center" vertical="center"/>
    </xf>
    <xf numFmtId="0" fontId="11" fillId="0" borderId="758" xfId="0" applyFont="1" applyBorder="1" applyAlignment="1">
      <alignment horizontal="center"/>
    </xf>
    <xf numFmtId="2" fontId="7" fillId="6" borderId="759" xfId="4" applyNumberFormat="1" applyFont="1" applyFill="1" applyBorder="1" applyAlignment="1">
      <alignment horizontal="center"/>
    </xf>
    <xf numFmtId="0" fontId="11" fillId="4" borderId="758" xfId="0" applyFont="1" applyFill="1" applyBorder="1" applyAlignment="1">
      <alignment horizontal="center"/>
    </xf>
    <xf numFmtId="168" fontId="7" fillId="4" borderId="759" xfId="1" applyNumberFormat="1" applyFont="1" applyFill="1" applyBorder="1" applyAlignment="1">
      <alignment horizontal="center"/>
    </xf>
    <xf numFmtId="0" fontId="11" fillId="5" borderId="758" xfId="0" applyFont="1" applyFill="1" applyBorder="1" applyAlignment="1">
      <alignment horizontal="center"/>
    </xf>
    <xf numFmtId="169" fontId="7" fillId="5" borderId="759" xfId="4" applyNumberFormat="1" applyFont="1" applyFill="1" applyBorder="1" applyAlignment="1">
      <alignment horizontal="center"/>
    </xf>
    <xf numFmtId="0" fontId="12" fillId="0" borderId="758" xfId="0" applyFont="1" applyBorder="1" applyAlignment="1">
      <alignment horizontal="center"/>
    </xf>
    <xf numFmtId="169" fontId="13" fillId="0" borderId="759" xfId="4" applyNumberFormat="1" applyFont="1" applyBorder="1" applyAlignment="1">
      <alignment horizontal="center"/>
    </xf>
    <xf numFmtId="168" fontId="7" fillId="4" borderId="759" xfId="1" applyNumberFormat="1" applyFont="1" applyFill="1" applyBorder="1" applyAlignment="1">
      <alignment horizontal="right"/>
    </xf>
    <xf numFmtId="1" fontId="7" fillId="0" borderId="760" xfId="4" applyNumberFormat="1" applyFont="1" applyBorder="1" applyAlignment="1">
      <alignment horizontal="center"/>
    </xf>
    <xf numFmtId="10" fontId="9" fillId="0" borderId="761" xfId="5" applyFont="1" applyBorder="1" applyAlignment="1">
      <alignment horizontal="center" vertical="center"/>
    </xf>
    <xf numFmtId="0" fontId="11" fillId="0" borderId="762" xfId="0" applyFont="1" applyBorder="1" applyAlignment="1">
      <alignment horizontal="center"/>
    </xf>
    <xf numFmtId="2" fontId="7" fillId="0" borderId="763" xfId="4" applyNumberFormat="1" applyFont="1" applyBorder="1" applyAlignment="1">
      <alignment horizontal="center"/>
    </xf>
    <xf numFmtId="0" fontId="11" fillId="4" borderId="762" xfId="0" applyFont="1" applyFill="1" applyBorder="1" applyAlignment="1">
      <alignment horizontal="center"/>
    </xf>
    <xf numFmtId="168" fontId="7" fillId="4" borderId="763" xfId="1" applyNumberFormat="1" applyFont="1" applyFill="1" applyBorder="1" applyAlignment="1">
      <alignment horizontal="center"/>
    </xf>
    <xf numFmtId="0" fontId="11" fillId="5" borderId="762" xfId="0" applyFont="1" applyFill="1" applyBorder="1" applyAlignment="1">
      <alignment horizontal="center"/>
    </xf>
    <xf numFmtId="169" fontId="7" fillId="5" borderId="763" xfId="4" applyNumberFormat="1" applyFont="1" applyFill="1" applyBorder="1" applyAlignment="1">
      <alignment horizontal="center"/>
    </xf>
    <xf numFmtId="0" fontId="12" fillId="0" borderId="762" xfId="0" applyFont="1" applyBorder="1" applyAlignment="1">
      <alignment horizontal="center"/>
    </xf>
    <xf numFmtId="169" fontId="13" fillId="0" borderId="763" xfId="4" applyNumberFormat="1" applyFont="1" applyBorder="1" applyAlignment="1">
      <alignment horizontal="center"/>
    </xf>
    <xf numFmtId="168" fontId="7" fillId="4" borderId="763" xfId="1" applyNumberFormat="1" applyFont="1" applyFill="1" applyBorder="1" applyAlignment="1">
      <alignment horizontal="right"/>
    </xf>
    <xf numFmtId="1" fontId="7" fillId="0" borderId="764" xfId="4" applyNumberFormat="1" applyFont="1" applyBorder="1" applyAlignment="1">
      <alignment horizontal="center"/>
    </xf>
    <xf numFmtId="10" fontId="9" fillId="0" borderId="765" xfId="5" applyFont="1" applyBorder="1" applyAlignment="1">
      <alignment horizontal="center" vertical="center"/>
    </xf>
    <xf numFmtId="0" fontId="11" fillId="0" borderId="766" xfId="0" applyFont="1" applyBorder="1" applyAlignment="1">
      <alignment horizontal="center"/>
    </xf>
    <xf numFmtId="2" fontId="7" fillId="0" borderId="767" xfId="4" applyNumberFormat="1" applyFont="1" applyBorder="1" applyAlignment="1">
      <alignment horizontal="center"/>
    </xf>
    <xf numFmtId="0" fontId="11" fillId="4" borderId="766" xfId="0" applyFont="1" applyFill="1" applyBorder="1" applyAlignment="1">
      <alignment horizontal="center"/>
    </xf>
    <xf numFmtId="168" fontId="7" fillId="4" borderId="767" xfId="1" applyNumberFormat="1" applyFont="1" applyFill="1" applyBorder="1" applyAlignment="1">
      <alignment horizontal="center"/>
    </xf>
    <xf numFmtId="0" fontId="11" fillId="5" borderId="766" xfId="0" applyFont="1" applyFill="1" applyBorder="1" applyAlignment="1">
      <alignment horizontal="center"/>
    </xf>
    <xf numFmtId="169" fontId="7" fillId="5" borderId="767" xfId="4" applyNumberFormat="1" applyFont="1" applyFill="1" applyBorder="1" applyAlignment="1">
      <alignment horizontal="center"/>
    </xf>
    <xf numFmtId="0" fontId="12" fillId="0" borderId="766" xfId="0" applyFont="1" applyBorder="1" applyAlignment="1">
      <alignment horizontal="center"/>
    </xf>
    <xf numFmtId="169" fontId="13" fillId="0" borderId="767" xfId="4" applyNumberFormat="1" applyFont="1" applyBorder="1" applyAlignment="1">
      <alignment horizontal="center"/>
    </xf>
    <xf numFmtId="168" fontId="7" fillId="4" borderId="767" xfId="1" applyNumberFormat="1" applyFont="1" applyFill="1" applyBorder="1" applyAlignment="1">
      <alignment horizontal="right"/>
    </xf>
    <xf numFmtId="1" fontId="7" fillId="0" borderId="768" xfId="4" applyNumberFormat="1" applyFont="1" applyBorder="1" applyAlignment="1">
      <alignment horizontal="center"/>
    </xf>
    <xf numFmtId="10" fontId="9" fillId="0" borderId="769" xfId="5" applyFont="1" applyBorder="1" applyAlignment="1">
      <alignment horizontal="center" vertical="center"/>
    </xf>
    <xf numFmtId="0" fontId="11" fillId="0" borderId="770" xfId="0" applyFont="1" applyBorder="1" applyAlignment="1">
      <alignment horizontal="center"/>
    </xf>
    <xf numFmtId="2" fontId="7" fillId="0" borderId="771" xfId="4" applyNumberFormat="1" applyFont="1" applyBorder="1" applyAlignment="1">
      <alignment horizontal="center"/>
    </xf>
    <xf numFmtId="0" fontId="11" fillId="4" borderId="770" xfId="0" applyFont="1" applyFill="1" applyBorder="1" applyAlignment="1">
      <alignment horizontal="center"/>
    </xf>
    <xf numFmtId="168" fontId="7" fillId="4" borderId="771" xfId="1" applyNumberFormat="1" applyFont="1" applyFill="1" applyBorder="1" applyAlignment="1">
      <alignment horizontal="center"/>
    </xf>
    <xf numFmtId="0" fontId="11" fillId="5" borderId="770" xfId="0" applyFont="1" applyFill="1" applyBorder="1" applyAlignment="1">
      <alignment horizontal="center"/>
    </xf>
    <xf numFmtId="169" fontId="7" fillId="5" borderId="771" xfId="4" applyNumberFormat="1" applyFont="1" applyFill="1" applyBorder="1" applyAlignment="1">
      <alignment horizontal="center"/>
    </xf>
    <xf numFmtId="0" fontId="12" fillId="0" borderId="770" xfId="0" applyFont="1" applyBorder="1" applyAlignment="1">
      <alignment horizontal="center"/>
    </xf>
    <xf numFmtId="169" fontId="13" fillId="0" borderId="771" xfId="4" applyNumberFormat="1" applyFont="1" applyBorder="1" applyAlignment="1">
      <alignment horizontal="center"/>
    </xf>
    <xf numFmtId="168" fontId="7" fillId="7" borderId="771" xfId="1" applyNumberFormat="1" applyFont="1" applyFill="1" applyBorder="1" applyAlignment="1">
      <alignment horizontal="right"/>
    </xf>
    <xf numFmtId="168" fontId="7" fillId="4" borderId="771" xfId="1" applyNumberFormat="1" applyFont="1" applyFill="1" applyBorder="1" applyAlignment="1">
      <alignment horizontal="right"/>
    </xf>
    <xf numFmtId="1" fontId="7" fillId="0" borderId="772" xfId="4" applyNumberFormat="1" applyFont="1" applyBorder="1" applyAlignment="1">
      <alignment horizontal="center"/>
    </xf>
    <xf numFmtId="10" fontId="9" fillId="0" borderId="773" xfId="5" applyFont="1" applyBorder="1" applyAlignment="1">
      <alignment horizontal="center" vertical="center"/>
    </xf>
    <xf numFmtId="0" fontId="11" fillId="0" borderId="774" xfId="0" applyFont="1" applyBorder="1" applyAlignment="1">
      <alignment horizontal="center"/>
    </xf>
    <xf numFmtId="2" fontId="7" fillId="0" borderId="775" xfId="4" applyNumberFormat="1" applyFont="1" applyBorder="1" applyAlignment="1">
      <alignment horizontal="center"/>
    </xf>
    <xf numFmtId="0" fontId="11" fillId="4" borderId="774" xfId="0" applyFont="1" applyFill="1" applyBorder="1" applyAlignment="1">
      <alignment horizontal="center"/>
    </xf>
    <xf numFmtId="168" fontId="7" fillId="4" borderId="775" xfId="1" applyNumberFormat="1" applyFont="1" applyFill="1" applyBorder="1" applyAlignment="1">
      <alignment horizontal="center"/>
    </xf>
    <xf numFmtId="0" fontId="11" fillId="5" borderId="774" xfId="0" applyFont="1" applyFill="1" applyBorder="1" applyAlignment="1">
      <alignment horizontal="center"/>
    </xf>
    <xf numFmtId="169" fontId="7" fillId="5" borderId="775" xfId="4" applyNumberFormat="1" applyFont="1" applyFill="1" applyBorder="1" applyAlignment="1">
      <alignment horizontal="center"/>
    </xf>
    <xf numFmtId="0" fontId="12" fillId="0" borderId="774" xfId="0" applyFont="1" applyBorder="1" applyAlignment="1">
      <alignment horizontal="center"/>
    </xf>
    <xf numFmtId="169" fontId="13" fillId="0" borderId="775" xfId="4" applyNumberFormat="1" applyFont="1" applyBorder="1" applyAlignment="1">
      <alignment horizontal="center"/>
    </xf>
    <xf numFmtId="168" fontId="7" fillId="4" borderId="775" xfId="1" applyNumberFormat="1" applyFont="1" applyFill="1" applyBorder="1" applyAlignment="1">
      <alignment horizontal="right"/>
    </xf>
    <xf numFmtId="1" fontId="7" fillId="0" borderId="776" xfId="4" applyNumberFormat="1" applyFont="1" applyBorder="1" applyAlignment="1">
      <alignment horizontal="center"/>
    </xf>
    <xf numFmtId="10" fontId="9" fillId="0" borderId="777" xfId="5" applyFont="1" applyBorder="1" applyAlignment="1">
      <alignment horizontal="center" vertical="center"/>
    </xf>
    <xf numFmtId="0" fontId="11" fillId="0" borderId="778" xfId="0" applyFont="1" applyBorder="1" applyAlignment="1">
      <alignment horizontal="center"/>
    </xf>
    <xf numFmtId="2" fontId="7" fillId="0" borderId="779" xfId="4" applyNumberFormat="1" applyFont="1" applyBorder="1" applyAlignment="1">
      <alignment horizontal="center"/>
    </xf>
    <xf numFmtId="0" fontId="11" fillId="4" borderId="778" xfId="0" applyFont="1" applyFill="1" applyBorder="1" applyAlignment="1">
      <alignment horizontal="center"/>
    </xf>
    <xf numFmtId="168" fontId="7" fillId="4" borderId="779" xfId="1" applyNumberFormat="1" applyFont="1" applyFill="1" applyBorder="1" applyAlignment="1">
      <alignment horizontal="center"/>
    </xf>
    <xf numFmtId="0" fontId="11" fillId="5" borderId="778" xfId="0" applyFont="1" applyFill="1" applyBorder="1" applyAlignment="1">
      <alignment horizontal="center"/>
    </xf>
    <xf numFmtId="169" fontId="7" fillId="5" borderId="779" xfId="4" applyNumberFormat="1" applyFont="1" applyFill="1" applyBorder="1" applyAlignment="1">
      <alignment horizontal="center"/>
    </xf>
    <xf numFmtId="0" fontId="12" fillId="0" borderId="778" xfId="0" applyFont="1" applyBorder="1" applyAlignment="1">
      <alignment horizontal="center"/>
    </xf>
    <xf numFmtId="169" fontId="13" fillId="0" borderId="779" xfId="4" applyNumberFormat="1" applyFont="1" applyBorder="1" applyAlignment="1">
      <alignment horizontal="center"/>
    </xf>
    <xf numFmtId="168" fontId="7" fillId="7" borderId="779" xfId="1" applyNumberFormat="1" applyFont="1" applyFill="1" applyBorder="1" applyAlignment="1">
      <alignment horizontal="right"/>
    </xf>
    <xf numFmtId="168" fontId="7" fillId="4" borderId="779" xfId="1" applyNumberFormat="1" applyFont="1" applyFill="1" applyBorder="1" applyAlignment="1">
      <alignment horizontal="right"/>
    </xf>
    <xf numFmtId="1" fontId="7" fillId="0" borderId="780" xfId="4" applyNumberFormat="1" applyFont="1" applyBorder="1" applyAlignment="1">
      <alignment horizontal="center"/>
    </xf>
    <xf numFmtId="10" fontId="9" fillId="0" borderId="781" xfId="5" applyFont="1" applyBorder="1" applyAlignment="1">
      <alignment horizontal="center" vertical="center"/>
    </xf>
    <xf numFmtId="0" fontId="11" fillId="0" borderId="782" xfId="0" applyFont="1" applyBorder="1" applyAlignment="1">
      <alignment horizontal="center"/>
    </xf>
    <xf numFmtId="2" fontId="7" fillId="0" borderId="783" xfId="4" applyNumberFormat="1" applyFont="1" applyBorder="1" applyAlignment="1">
      <alignment horizontal="center"/>
    </xf>
    <xf numFmtId="0" fontId="11" fillId="4" borderId="782" xfId="0" applyFont="1" applyFill="1" applyBorder="1" applyAlignment="1">
      <alignment horizontal="center"/>
    </xf>
    <xf numFmtId="168" fontId="7" fillId="4" borderId="783" xfId="1" applyNumberFormat="1" applyFont="1" applyFill="1" applyBorder="1" applyAlignment="1">
      <alignment horizontal="center"/>
    </xf>
    <xf numFmtId="0" fontId="11" fillId="5" borderId="782" xfId="0" applyFont="1" applyFill="1" applyBorder="1" applyAlignment="1">
      <alignment horizontal="center"/>
    </xf>
    <xf numFmtId="169" fontId="7" fillId="5" borderId="783" xfId="4" applyNumberFormat="1" applyFont="1" applyFill="1" applyBorder="1" applyAlignment="1">
      <alignment horizontal="center"/>
    </xf>
    <xf numFmtId="0" fontId="12" fillId="0" borderId="782" xfId="0" applyFont="1" applyBorder="1" applyAlignment="1">
      <alignment horizontal="center"/>
    </xf>
    <xf numFmtId="169" fontId="13" fillId="0" borderId="783" xfId="4" applyNumberFormat="1" applyFont="1" applyBorder="1" applyAlignment="1">
      <alignment horizontal="center"/>
    </xf>
    <xf numFmtId="168" fontId="7" fillId="4" borderId="783" xfId="1" applyNumberFormat="1" applyFont="1" applyFill="1" applyBorder="1" applyAlignment="1">
      <alignment horizontal="right"/>
    </xf>
    <xf numFmtId="1" fontId="7" fillId="0" borderId="784" xfId="4" applyNumberFormat="1" applyFont="1" applyBorder="1" applyAlignment="1">
      <alignment horizontal="center"/>
    </xf>
    <xf numFmtId="10" fontId="9" fillId="0" borderId="785" xfId="5" applyFont="1" applyBorder="1" applyAlignment="1">
      <alignment horizontal="center" vertical="center"/>
    </xf>
    <xf numFmtId="0" fontId="11" fillId="0" borderId="786" xfId="0" applyFont="1" applyBorder="1" applyAlignment="1">
      <alignment horizontal="center"/>
    </xf>
    <xf numFmtId="2" fontId="7" fillId="0" borderId="787" xfId="4" applyNumberFormat="1" applyFont="1" applyBorder="1" applyAlignment="1">
      <alignment horizontal="center"/>
    </xf>
    <xf numFmtId="0" fontId="11" fillId="4" borderId="786" xfId="0" applyFont="1" applyFill="1" applyBorder="1" applyAlignment="1">
      <alignment horizontal="center"/>
    </xf>
    <xf numFmtId="168" fontId="7" fillId="4" borderId="787" xfId="1" applyNumberFormat="1" applyFont="1" applyFill="1" applyBorder="1" applyAlignment="1">
      <alignment horizontal="center"/>
    </xf>
    <xf numFmtId="0" fontId="11" fillId="5" borderId="786" xfId="0" applyFont="1" applyFill="1" applyBorder="1" applyAlignment="1">
      <alignment horizontal="center"/>
    </xf>
    <xf numFmtId="169" fontId="7" fillId="5" borderId="787" xfId="4" applyNumberFormat="1" applyFont="1" applyFill="1" applyBorder="1" applyAlignment="1">
      <alignment horizontal="center"/>
    </xf>
    <xf numFmtId="0" fontId="12" fillId="0" borderId="786" xfId="0" applyFont="1" applyBorder="1" applyAlignment="1">
      <alignment horizontal="center"/>
    </xf>
    <xf numFmtId="169" fontId="13" fillId="0" borderId="787" xfId="4" applyNumberFormat="1" applyFont="1" applyBorder="1" applyAlignment="1">
      <alignment horizontal="center"/>
    </xf>
    <xf numFmtId="168" fontId="7" fillId="7" borderId="787" xfId="1" applyNumberFormat="1" applyFont="1" applyFill="1" applyBorder="1" applyAlignment="1">
      <alignment horizontal="right"/>
    </xf>
    <xf numFmtId="168" fontId="7" fillId="4" borderId="787" xfId="1" applyNumberFormat="1" applyFont="1" applyFill="1" applyBorder="1" applyAlignment="1">
      <alignment horizontal="right"/>
    </xf>
    <xf numFmtId="1" fontId="7" fillId="0" borderId="788" xfId="4" applyNumberFormat="1" applyFont="1" applyBorder="1" applyAlignment="1">
      <alignment horizontal="center"/>
    </xf>
    <xf numFmtId="10" fontId="9" fillId="0" borderId="789" xfId="5" applyFont="1" applyBorder="1" applyAlignment="1">
      <alignment horizontal="center" vertical="center"/>
    </xf>
    <xf numFmtId="0" fontId="11" fillId="0" borderId="790" xfId="0" applyFont="1" applyBorder="1" applyAlignment="1">
      <alignment horizontal="center"/>
    </xf>
    <xf numFmtId="2" fontId="7" fillId="0" borderId="791" xfId="4" applyNumberFormat="1" applyFont="1" applyBorder="1" applyAlignment="1">
      <alignment horizontal="center"/>
    </xf>
    <xf numFmtId="0" fontId="11" fillId="4" borderId="790" xfId="0" applyFont="1" applyFill="1" applyBorder="1" applyAlignment="1">
      <alignment horizontal="center"/>
    </xf>
    <xf numFmtId="168" fontId="7" fillId="4" borderId="791" xfId="1" applyNumberFormat="1" applyFont="1" applyFill="1" applyBorder="1" applyAlignment="1">
      <alignment horizontal="center"/>
    </xf>
    <xf numFmtId="0" fontId="11" fillId="5" borderId="790" xfId="0" applyFont="1" applyFill="1" applyBorder="1" applyAlignment="1">
      <alignment horizontal="center"/>
    </xf>
    <xf numFmtId="169" fontId="7" fillId="5" borderId="791" xfId="4" applyNumberFormat="1" applyFont="1" applyFill="1" applyBorder="1" applyAlignment="1">
      <alignment horizontal="center"/>
    </xf>
    <xf numFmtId="0" fontId="12" fillId="0" borderId="790" xfId="0" applyFont="1" applyBorder="1" applyAlignment="1">
      <alignment horizontal="center"/>
    </xf>
    <xf numFmtId="169" fontId="13" fillId="0" borderId="791" xfId="4" applyNumberFormat="1" applyFont="1" applyBorder="1" applyAlignment="1">
      <alignment horizontal="center"/>
    </xf>
    <xf numFmtId="168" fontId="7" fillId="4" borderId="791" xfId="1" applyNumberFormat="1" applyFont="1" applyFill="1" applyBorder="1" applyAlignment="1">
      <alignment horizontal="right"/>
    </xf>
    <xf numFmtId="1" fontId="7" fillId="0" borderId="792" xfId="4" applyNumberFormat="1" applyFont="1" applyBorder="1" applyAlignment="1">
      <alignment horizontal="center"/>
    </xf>
    <xf numFmtId="10" fontId="9" fillId="0" borderId="793" xfId="5" applyFont="1" applyBorder="1" applyAlignment="1">
      <alignment horizontal="center" vertical="center"/>
    </xf>
    <xf numFmtId="0" fontId="11" fillId="0" borderId="794" xfId="0" applyFont="1" applyBorder="1" applyAlignment="1">
      <alignment horizontal="center"/>
    </xf>
    <xf numFmtId="2" fontId="7" fillId="0" borderId="795" xfId="4" applyNumberFormat="1" applyFont="1" applyBorder="1" applyAlignment="1">
      <alignment horizontal="center"/>
    </xf>
    <xf numFmtId="0" fontId="11" fillId="4" borderId="794" xfId="0" applyFont="1" applyFill="1" applyBorder="1" applyAlignment="1">
      <alignment horizontal="center"/>
    </xf>
    <xf numFmtId="168" fontId="7" fillId="4" borderId="795" xfId="1" applyNumberFormat="1" applyFont="1" applyFill="1" applyBorder="1" applyAlignment="1">
      <alignment horizontal="center"/>
    </xf>
    <xf numFmtId="0" fontId="11" fillId="5" borderId="794" xfId="0" applyFont="1" applyFill="1" applyBorder="1" applyAlignment="1">
      <alignment horizontal="center"/>
    </xf>
    <xf numFmtId="169" fontId="7" fillId="5" borderId="795" xfId="4" applyNumberFormat="1" applyFont="1" applyFill="1" applyBorder="1" applyAlignment="1">
      <alignment horizontal="center"/>
    </xf>
    <xf numFmtId="0" fontId="12" fillId="0" borderId="794" xfId="0" applyFont="1" applyBorder="1" applyAlignment="1">
      <alignment horizontal="center"/>
    </xf>
    <xf numFmtId="169" fontId="13" fillId="0" borderId="795" xfId="4" applyNumberFormat="1" applyFont="1" applyBorder="1" applyAlignment="1">
      <alignment horizontal="center"/>
    </xf>
    <xf numFmtId="168" fontId="7" fillId="4" borderId="795" xfId="1" applyNumberFormat="1" applyFont="1" applyFill="1" applyBorder="1" applyAlignment="1">
      <alignment horizontal="right"/>
    </xf>
    <xf numFmtId="1" fontId="7" fillId="0" borderId="796" xfId="4" applyNumberFormat="1" applyFont="1" applyBorder="1" applyAlignment="1">
      <alignment horizontal="center"/>
    </xf>
    <xf numFmtId="10" fontId="9" fillId="0" borderId="797" xfId="5" applyFont="1" applyBorder="1" applyAlignment="1">
      <alignment horizontal="center" vertical="center"/>
    </xf>
    <xf numFmtId="0" fontId="11" fillId="0" borderId="798" xfId="0" applyFont="1" applyBorder="1" applyAlignment="1">
      <alignment horizontal="center"/>
    </xf>
    <xf numFmtId="2" fontId="7" fillId="0" borderId="799" xfId="4" applyNumberFormat="1" applyFont="1" applyBorder="1" applyAlignment="1">
      <alignment horizontal="center"/>
    </xf>
    <xf numFmtId="0" fontId="11" fillId="4" borderId="798" xfId="0" applyFont="1" applyFill="1" applyBorder="1" applyAlignment="1">
      <alignment horizontal="center"/>
    </xf>
    <xf numFmtId="168" fontId="7" fillId="4" borderId="799" xfId="1" applyNumberFormat="1" applyFont="1" applyFill="1" applyBorder="1" applyAlignment="1">
      <alignment horizontal="center"/>
    </xf>
    <xf numFmtId="0" fontId="11" fillId="5" borderId="798" xfId="0" applyFont="1" applyFill="1" applyBorder="1" applyAlignment="1">
      <alignment horizontal="center"/>
    </xf>
    <xf numFmtId="169" fontId="7" fillId="5" borderId="799" xfId="4" applyNumberFormat="1" applyFont="1" applyFill="1" applyBorder="1" applyAlignment="1">
      <alignment horizontal="center"/>
    </xf>
    <xf numFmtId="0" fontId="12" fillId="0" borderId="798" xfId="0" applyFont="1" applyBorder="1" applyAlignment="1">
      <alignment horizontal="center"/>
    </xf>
    <xf numFmtId="169" fontId="13" fillId="0" borderId="799" xfId="4" applyNumberFormat="1" applyFont="1" applyBorder="1" applyAlignment="1">
      <alignment horizontal="center"/>
    </xf>
    <xf numFmtId="168" fontId="7" fillId="4" borderId="799" xfId="1" applyNumberFormat="1" applyFont="1" applyFill="1" applyBorder="1" applyAlignment="1">
      <alignment horizontal="right"/>
    </xf>
    <xf numFmtId="1" fontId="7" fillId="0" borderId="800" xfId="4" applyNumberFormat="1" applyFont="1" applyBorder="1" applyAlignment="1">
      <alignment horizontal="center"/>
    </xf>
    <xf numFmtId="10" fontId="9" fillId="0" borderId="801" xfId="5" applyFont="1" applyBorder="1" applyAlignment="1">
      <alignment horizontal="center" vertical="center"/>
    </xf>
    <xf numFmtId="0" fontId="11" fillId="0" borderId="802" xfId="0" applyFont="1" applyBorder="1" applyAlignment="1">
      <alignment horizontal="center"/>
    </xf>
    <xf numFmtId="2" fontId="7" fillId="0" borderId="803" xfId="4" applyNumberFormat="1" applyFont="1" applyBorder="1" applyAlignment="1">
      <alignment horizontal="center"/>
    </xf>
    <xf numFmtId="0" fontId="11" fillId="4" borderId="802" xfId="0" applyFont="1" applyFill="1" applyBorder="1" applyAlignment="1">
      <alignment horizontal="center"/>
    </xf>
    <xf numFmtId="168" fontId="7" fillId="4" borderId="803" xfId="1" applyNumberFormat="1" applyFont="1" applyFill="1" applyBorder="1" applyAlignment="1">
      <alignment horizontal="center"/>
    </xf>
    <xf numFmtId="0" fontId="11" fillId="5" borderId="802" xfId="0" applyFont="1" applyFill="1" applyBorder="1" applyAlignment="1">
      <alignment horizontal="center"/>
    </xf>
    <xf numFmtId="169" fontId="7" fillId="5" borderId="803" xfId="4" applyNumberFormat="1" applyFont="1" applyFill="1" applyBorder="1" applyAlignment="1">
      <alignment horizontal="center"/>
    </xf>
    <xf numFmtId="0" fontId="12" fillId="0" borderId="802" xfId="0" applyFont="1" applyBorder="1" applyAlignment="1">
      <alignment horizontal="center"/>
    </xf>
    <xf numFmtId="169" fontId="13" fillId="0" borderId="803" xfId="4" applyNumberFormat="1" applyFont="1" applyBorder="1" applyAlignment="1">
      <alignment horizontal="center"/>
    </xf>
    <xf numFmtId="168" fontId="7" fillId="7" borderId="803" xfId="1" applyNumberFormat="1" applyFont="1" applyFill="1" applyBorder="1" applyAlignment="1">
      <alignment horizontal="right"/>
    </xf>
    <xf numFmtId="168" fontId="7" fillId="4" borderId="803" xfId="1" applyNumberFormat="1" applyFont="1" applyFill="1" applyBorder="1" applyAlignment="1">
      <alignment horizontal="right"/>
    </xf>
    <xf numFmtId="1" fontId="7" fillId="0" borderId="804" xfId="4" applyNumberFormat="1" applyFont="1" applyBorder="1" applyAlignment="1">
      <alignment horizontal="center"/>
    </xf>
    <xf numFmtId="10" fontId="9" fillId="0" borderId="805" xfId="5" applyFont="1" applyBorder="1" applyAlignment="1">
      <alignment horizontal="center" vertical="center"/>
    </xf>
    <xf numFmtId="0" fontId="11" fillId="0" borderId="806" xfId="0" applyFont="1" applyBorder="1" applyAlignment="1">
      <alignment horizontal="center"/>
    </xf>
    <xf numFmtId="2" fontId="7" fillId="0" borderId="807" xfId="4" applyNumberFormat="1" applyFont="1" applyBorder="1" applyAlignment="1">
      <alignment horizontal="center"/>
    </xf>
    <xf numFmtId="0" fontId="11" fillId="4" borderId="806" xfId="0" applyFont="1" applyFill="1" applyBorder="1" applyAlignment="1">
      <alignment horizontal="center"/>
    </xf>
    <xf numFmtId="168" fontId="7" fillId="4" borderId="807" xfId="1" applyNumberFormat="1" applyFont="1" applyFill="1" applyBorder="1" applyAlignment="1">
      <alignment horizontal="center"/>
    </xf>
    <xf numFmtId="0" fontId="11" fillId="5" borderId="806" xfId="0" applyFont="1" applyFill="1" applyBorder="1" applyAlignment="1">
      <alignment horizontal="center"/>
    </xf>
    <xf numFmtId="169" fontId="7" fillId="5" borderId="807" xfId="4" applyNumberFormat="1" applyFont="1" applyFill="1" applyBorder="1" applyAlignment="1">
      <alignment horizontal="center"/>
    </xf>
    <xf numFmtId="0" fontId="12" fillId="0" borderId="806" xfId="0" applyFont="1" applyBorder="1" applyAlignment="1">
      <alignment horizontal="center"/>
    </xf>
    <xf numFmtId="169" fontId="13" fillId="0" borderId="807" xfId="4" applyNumberFormat="1" applyFont="1" applyBorder="1" applyAlignment="1">
      <alignment horizontal="center"/>
    </xf>
    <xf numFmtId="168" fontId="7" fillId="4" borderId="807" xfId="1" applyNumberFormat="1" applyFont="1" applyFill="1" applyBorder="1" applyAlignment="1">
      <alignment horizontal="right"/>
    </xf>
    <xf numFmtId="1" fontId="7" fillId="0" borderId="808" xfId="4" applyNumberFormat="1" applyFont="1" applyBorder="1" applyAlignment="1">
      <alignment horizontal="center"/>
    </xf>
    <xf numFmtId="10" fontId="9" fillId="0" borderId="809" xfId="5" applyFont="1" applyBorder="1" applyAlignment="1">
      <alignment horizontal="center" vertical="center"/>
    </xf>
    <xf numFmtId="0" fontId="11" fillId="0" borderId="810" xfId="0" applyFont="1" applyBorder="1" applyAlignment="1">
      <alignment horizontal="center"/>
    </xf>
    <xf numFmtId="2" fontId="7" fillId="0" borderId="811" xfId="4" applyNumberFormat="1" applyFont="1" applyBorder="1" applyAlignment="1">
      <alignment horizontal="center"/>
    </xf>
    <xf numFmtId="0" fontId="11" fillId="4" borderId="810" xfId="0" applyFont="1" applyFill="1" applyBorder="1" applyAlignment="1">
      <alignment horizontal="center"/>
    </xf>
    <xf numFmtId="168" fontId="7" fillId="4" borderId="811" xfId="1" applyNumberFormat="1" applyFont="1" applyFill="1" applyBorder="1" applyAlignment="1">
      <alignment horizontal="center"/>
    </xf>
    <xf numFmtId="0" fontId="11" fillId="5" borderId="810" xfId="0" applyFont="1" applyFill="1" applyBorder="1" applyAlignment="1">
      <alignment horizontal="center"/>
    </xf>
    <xf numFmtId="169" fontId="7" fillId="5" borderId="811" xfId="4" applyNumberFormat="1" applyFont="1" applyFill="1" applyBorder="1" applyAlignment="1">
      <alignment horizontal="center"/>
    </xf>
    <xf numFmtId="0" fontId="12" fillId="0" borderId="810" xfId="0" applyFont="1" applyBorder="1" applyAlignment="1">
      <alignment horizontal="center"/>
    </xf>
    <xf numFmtId="169" fontId="13" fillId="0" borderId="811" xfId="4" applyNumberFormat="1" applyFont="1" applyBorder="1" applyAlignment="1">
      <alignment horizontal="center"/>
    </xf>
    <xf numFmtId="168" fontId="7" fillId="4" borderId="811" xfId="1" applyNumberFormat="1" applyFont="1" applyFill="1" applyBorder="1" applyAlignment="1">
      <alignment horizontal="right"/>
    </xf>
    <xf numFmtId="1" fontId="7" fillId="0" borderId="812" xfId="4" applyNumberFormat="1" applyFont="1" applyBorder="1" applyAlignment="1">
      <alignment horizontal="center"/>
    </xf>
    <xf numFmtId="10" fontId="9" fillId="0" borderId="813" xfId="5" applyFont="1" applyBorder="1" applyAlignment="1">
      <alignment horizontal="center" vertical="center"/>
    </xf>
    <xf numFmtId="0" fontId="11" fillId="0" borderId="814" xfId="0" applyFont="1" applyBorder="1" applyAlignment="1">
      <alignment horizontal="center"/>
    </xf>
    <xf numFmtId="2" fontId="7" fillId="0" borderId="815" xfId="4" applyNumberFormat="1" applyFont="1" applyBorder="1" applyAlignment="1">
      <alignment horizontal="center"/>
    </xf>
    <xf numFmtId="0" fontId="11" fillId="4" borderId="814" xfId="0" applyFont="1" applyFill="1" applyBorder="1" applyAlignment="1">
      <alignment horizontal="center"/>
    </xf>
    <xf numFmtId="168" fontId="7" fillId="4" borderId="815" xfId="1" applyNumberFormat="1" applyFont="1" applyFill="1" applyBorder="1" applyAlignment="1">
      <alignment horizontal="center"/>
    </xf>
    <xf numFmtId="0" fontId="11" fillId="5" borderId="814" xfId="0" applyFont="1" applyFill="1" applyBorder="1" applyAlignment="1">
      <alignment horizontal="center"/>
    </xf>
    <xf numFmtId="169" fontId="7" fillId="5" borderId="815" xfId="4" applyNumberFormat="1" applyFont="1" applyFill="1" applyBorder="1" applyAlignment="1">
      <alignment horizontal="center"/>
    </xf>
    <xf numFmtId="0" fontId="12" fillId="0" borderId="814" xfId="0" applyFont="1" applyBorder="1" applyAlignment="1">
      <alignment horizontal="center"/>
    </xf>
    <xf numFmtId="169" fontId="13" fillId="0" borderId="815" xfId="4" applyNumberFormat="1" applyFont="1" applyBorder="1" applyAlignment="1">
      <alignment horizontal="center"/>
    </xf>
    <xf numFmtId="168" fontId="7" fillId="4" borderId="815" xfId="1" applyNumberFormat="1" applyFont="1" applyFill="1" applyBorder="1" applyAlignment="1">
      <alignment horizontal="right"/>
    </xf>
    <xf numFmtId="1" fontId="7" fillId="0" borderId="816" xfId="4" applyNumberFormat="1" applyFont="1" applyBorder="1" applyAlignment="1">
      <alignment horizontal="center"/>
    </xf>
    <xf numFmtId="10" fontId="9" fillId="0" borderId="817" xfId="5" applyFont="1" applyBorder="1" applyAlignment="1">
      <alignment horizontal="center" vertical="center"/>
    </xf>
    <xf numFmtId="0" fontId="11" fillId="0" borderId="818" xfId="0" applyFont="1" applyBorder="1" applyAlignment="1">
      <alignment horizontal="center"/>
    </xf>
    <xf numFmtId="2" fontId="7" fillId="0" borderId="819" xfId="4" applyNumberFormat="1" applyFont="1" applyBorder="1" applyAlignment="1">
      <alignment horizontal="center"/>
    </xf>
    <xf numFmtId="0" fontId="11" fillId="4" borderId="818" xfId="0" applyFont="1" applyFill="1" applyBorder="1" applyAlignment="1">
      <alignment horizontal="center"/>
    </xf>
    <xf numFmtId="168" fontId="7" fillId="4" borderId="819" xfId="1" applyNumberFormat="1" applyFont="1" applyFill="1" applyBorder="1" applyAlignment="1">
      <alignment horizontal="center"/>
    </xf>
    <xf numFmtId="0" fontId="11" fillId="5" borderId="818" xfId="0" applyFont="1" applyFill="1" applyBorder="1" applyAlignment="1">
      <alignment horizontal="center"/>
    </xf>
    <xf numFmtId="169" fontId="7" fillId="5" borderId="819" xfId="4" applyNumberFormat="1" applyFont="1" applyFill="1" applyBorder="1" applyAlignment="1">
      <alignment horizontal="center"/>
    </xf>
    <xf numFmtId="0" fontId="12" fillId="0" borderId="818" xfId="0" applyFont="1" applyBorder="1" applyAlignment="1">
      <alignment horizontal="center"/>
    </xf>
    <xf numFmtId="169" fontId="13" fillId="0" borderId="819" xfId="4" applyNumberFormat="1" applyFont="1" applyBorder="1" applyAlignment="1">
      <alignment horizontal="center"/>
    </xf>
    <xf numFmtId="168" fontId="7" fillId="4" borderId="819" xfId="1" applyNumberFormat="1" applyFont="1" applyFill="1" applyBorder="1" applyAlignment="1">
      <alignment horizontal="right"/>
    </xf>
    <xf numFmtId="1" fontId="7" fillId="0" borderId="820" xfId="4" applyNumberFormat="1" applyFont="1" applyBorder="1" applyAlignment="1">
      <alignment horizontal="center"/>
    </xf>
    <xf numFmtId="10" fontId="9" fillId="0" borderId="821" xfId="5" applyFont="1" applyBorder="1" applyAlignment="1">
      <alignment horizontal="center" vertical="center"/>
    </xf>
    <xf numFmtId="0" fontId="11" fillId="0" borderId="822" xfId="0" applyFont="1" applyBorder="1" applyAlignment="1">
      <alignment horizontal="center"/>
    </xf>
    <xf numFmtId="2" fontId="7" fillId="0" borderId="823" xfId="4" applyNumberFormat="1" applyFont="1" applyBorder="1" applyAlignment="1">
      <alignment horizontal="center"/>
    </xf>
    <xf numFmtId="0" fontId="11" fillId="4" borderId="822" xfId="0" applyFont="1" applyFill="1" applyBorder="1" applyAlignment="1">
      <alignment horizontal="center"/>
    </xf>
    <xf numFmtId="168" fontId="7" fillId="4" borderId="823" xfId="1" applyNumberFormat="1" applyFont="1" applyFill="1" applyBorder="1" applyAlignment="1">
      <alignment horizontal="center"/>
    </xf>
    <xf numFmtId="0" fontId="11" fillId="5" borderId="822" xfId="0" applyFont="1" applyFill="1" applyBorder="1" applyAlignment="1">
      <alignment horizontal="center"/>
    </xf>
    <xf numFmtId="169" fontId="7" fillId="5" borderId="823" xfId="4" applyNumberFormat="1" applyFont="1" applyFill="1" applyBorder="1" applyAlignment="1">
      <alignment horizontal="center"/>
    </xf>
    <xf numFmtId="0" fontId="12" fillId="0" borderId="822" xfId="0" applyFont="1" applyBorder="1" applyAlignment="1">
      <alignment horizontal="center"/>
    </xf>
    <xf numFmtId="169" fontId="13" fillId="0" borderId="823" xfId="4" applyNumberFormat="1" applyFont="1" applyBorder="1" applyAlignment="1">
      <alignment horizontal="center"/>
    </xf>
    <xf numFmtId="168" fontId="7" fillId="4" borderId="823" xfId="1" applyNumberFormat="1" applyFont="1" applyFill="1" applyBorder="1" applyAlignment="1">
      <alignment horizontal="right"/>
    </xf>
    <xf numFmtId="1" fontId="7" fillId="0" borderId="824" xfId="4" applyNumberFormat="1" applyFont="1" applyBorder="1" applyAlignment="1">
      <alignment horizontal="center"/>
    </xf>
    <xf numFmtId="10" fontId="9" fillId="0" borderId="825" xfId="5" applyFont="1" applyBorder="1" applyAlignment="1">
      <alignment horizontal="center" vertical="center"/>
    </xf>
    <xf numFmtId="0" fontId="11" fillId="0" borderId="826" xfId="0" applyFont="1" applyBorder="1" applyAlignment="1">
      <alignment horizontal="center"/>
    </xf>
    <xf numFmtId="2" fontId="7" fillId="0" borderId="827" xfId="4" applyNumberFormat="1" applyFont="1" applyBorder="1" applyAlignment="1">
      <alignment horizontal="center"/>
    </xf>
    <xf numFmtId="0" fontId="11" fillId="4" borderId="826" xfId="0" applyFont="1" applyFill="1" applyBorder="1" applyAlignment="1">
      <alignment horizontal="center"/>
    </xf>
    <xf numFmtId="168" fontId="7" fillId="4" borderId="827" xfId="1" applyNumberFormat="1" applyFont="1" applyFill="1" applyBorder="1" applyAlignment="1">
      <alignment horizontal="center"/>
    </xf>
    <xf numFmtId="0" fontId="11" fillId="5" borderId="826" xfId="0" applyFont="1" applyFill="1" applyBorder="1" applyAlignment="1">
      <alignment horizontal="center"/>
    </xf>
    <xf numFmtId="169" fontId="7" fillId="5" borderId="827" xfId="4" applyNumberFormat="1" applyFont="1" applyFill="1" applyBorder="1" applyAlignment="1">
      <alignment horizontal="center"/>
    </xf>
    <xf numFmtId="0" fontId="12" fillId="0" borderId="826" xfId="0" applyFont="1" applyBorder="1" applyAlignment="1">
      <alignment horizontal="center"/>
    </xf>
    <xf numFmtId="169" fontId="13" fillId="0" borderId="827" xfId="4" applyNumberFormat="1" applyFont="1" applyBorder="1" applyAlignment="1">
      <alignment horizontal="center"/>
    </xf>
    <xf numFmtId="168" fontId="7" fillId="4" borderId="827" xfId="1" applyNumberFormat="1" applyFont="1" applyFill="1" applyBorder="1" applyAlignment="1">
      <alignment horizontal="right"/>
    </xf>
    <xf numFmtId="1" fontId="7" fillId="0" borderId="828" xfId="4" applyNumberFormat="1" applyFont="1" applyBorder="1" applyAlignment="1">
      <alignment horizontal="center"/>
    </xf>
    <xf numFmtId="10" fontId="9" fillId="0" borderId="829" xfId="5" applyFont="1" applyBorder="1" applyAlignment="1">
      <alignment horizontal="center" vertical="center"/>
    </xf>
    <xf numFmtId="0" fontId="11" fillId="0" borderId="830" xfId="0" applyFont="1" applyBorder="1" applyAlignment="1">
      <alignment horizontal="center"/>
    </xf>
    <xf numFmtId="2" fontId="7" fillId="0" borderId="831" xfId="4" applyNumberFormat="1" applyFont="1" applyBorder="1" applyAlignment="1">
      <alignment horizontal="center"/>
    </xf>
    <xf numFmtId="0" fontId="11" fillId="4" borderId="830" xfId="0" applyFont="1" applyFill="1" applyBorder="1" applyAlignment="1">
      <alignment horizontal="center"/>
    </xf>
    <xf numFmtId="168" fontId="7" fillId="4" borderId="831" xfId="1" applyNumberFormat="1" applyFont="1" applyFill="1" applyBorder="1" applyAlignment="1">
      <alignment horizontal="center"/>
    </xf>
    <xf numFmtId="0" fontId="11" fillId="5" borderId="830" xfId="0" applyFont="1" applyFill="1" applyBorder="1" applyAlignment="1">
      <alignment horizontal="center"/>
    </xf>
    <xf numFmtId="169" fontId="7" fillId="5" borderId="831" xfId="4" applyNumberFormat="1" applyFont="1" applyFill="1" applyBorder="1" applyAlignment="1">
      <alignment horizontal="center"/>
    </xf>
    <xf numFmtId="0" fontId="12" fillId="0" borderId="830" xfId="0" applyFont="1" applyBorder="1" applyAlignment="1">
      <alignment horizontal="center"/>
    </xf>
    <xf numFmtId="169" fontId="13" fillId="0" borderId="831" xfId="4" applyNumberFormat="1" applyFont="1" applyBorder="1" applyAlignment="1">
      <alignment horizontal="center"/>
    </xf>
    <xf numFmtId="168" fontId="7" fillId="4" borderId="831" xfId="1" applyNumberFormat="1" applyFont="1" applyFill="1" applyBorder="1" applyAlignment="1">
      <alignment horizontal="right"/>
    </xf>
    <xf numFmtId="1" fontId="7" fillId="0" borderId="832" xfId="4" applyNumberFormat="1" applyFont="1" applyBorder="1" applyAlignment="1">
      <alignment horizontal="center"/>
    </xf>
    <xf numFmtId="10" fontId="9" fillId="0" borderId="833" xfId="5" applyFont="1" applyBorder="1" applyAlignment="1">
      <alignment horizontal="center" vertical="center"/>
    </xf>
    <xf numFmtId="0" fontId="11" fillId="0" borderId="834" xfId="0" applyFont="1" applyBorder="1" applyAlignment="1">
      <alignment horizontal="center"/>
    </xf>
    <xf numFmtId="2" fontId="7" fillId="0" borderId="835" xfId="4" applyNumberFormat="1" applyFont="1" applyBorder="1" applyAlignment="1">
      <alignment horizontal="center"/>
    </xf>
    <xf numFmtId="0" fontId="11" fillId="4" borderId="834" xfId="0" applyFont="1" applyFill="1" applyBorder="1" applyAlignment="1">
      <alignment horizontal="center"/>
    </xf>
    <xf numFmtId="168" fontId="7" fillId="4" borderId="835" xfId="1" applyNumberFormat="1" applyFont="1" applyFill="1" applyBorder="1" applyAlignment="1">
      <alignment horizontal="center"/>
    </xf>
    <xf numFmtId="0" fontId="11" fillId="5" borderId="834" xfId="0" applyFont="1" applyFill="1" applyBorder="1" applyAlignment="1">
      <alignment horizontal="center"/>
    </xf>
    <xf numFmtId="169" fontId="7" fillId="5" borderId="835" xfId="4" applyNumberFormat="1" applyFont="1" applyFill="1" applyBorder="1" applyAlignment="1">
      <alignment horizontal="center"/>
    </xf>
    <xf numFmtId="0" fontId="12" fillId="0" borderId="834" xfId="0" applyFont="1" applyBorder="1" applyAlignment="1">
      <alignment horizontal="center"/>
    </xf>
    <xf numFmtId="169" fontId="13" fillId="0" borderId="835" xfId="4" applyNumberFormat="1" applyFont="1" applyBorder="1" applyAlignment="1">
      <alignment horizontal="center"/>
    </xf>
    <xf numFmtId="168" fontId="7" fillId="4" borderId="835" xfId="1" applyNumberFormat="1" applyFont="1" applyFill="1" applyBorder="1" applyAlignment="1">
      <alignment horizontal="right"/>
    </xf>
    <xf numFmtId="1" fontId="7" fillId="0" borderId="836" xfId="4" applyNumberFormat="1" applyFont="1" applyBorder="1" applyAlignment="1">
      <alignment horizontal="center"/>
    </xf>
    <xf numFmtId="10" fontId="9" fillId="0" borderId="837" xfId="5" applyFont="1" applyBorder="1" applyAlignment="1">
      <alignment horizontal="center" vertical="center"/>
    </xf>
    <xf numFmtId="0" fontId="11" fillId="0" borderId="838" xfId="0" applyFont="1" applyBorder="1" applyAlignment="1">
      <alignment horizontal="center"/>
    </xf>
    <xf numFmtId="2" fontId="7" fillId="0" borderId="839" xfId="4" applyNumberFormat="1" applyFont="1" applyBorder="1" applyAlignment="1">
      <alignment horizontal="center"/>
    </xf>
    <xf numFmtId="0" fontId="11" fillId="4" borderId="838" xfId="0" applyFont="1" applyFill="1" applyBorder="1" applyAlignment="1">
      <alignment horizontal="center"/>
    </xf>
    <xf numFmtId="168" fontId="7" fillId="4" borderId="839" xfId="1" applyNumberFormat="1" applyFont="1" applyFill="1" applyBorder="1" applyAlignment="1">
      <alignment horizontal="center"/>
    </xf>
    <xf numFmtId="0" fontId="11" fillId="5" borderId="838" xfId="0" applyFont="1" applyFill="1" applyBorder="1" applyAlignment="1">
      <alignment horizontal="center"/>
    </xf>
    <xf numFmtId="169" fontId="7" fillId="5" borderId="839" xfId="4" applyNumberFormat="1" applyFont="1" applyFill="1" applyBorder="1" applyAlignment="1">
      <alignment horizontal="center"/>
    </xf>
    <xf numFmtId="0" fontId="12" fillId="0" borderId="838" xfId="0" applyFont="1" applyBorder="1" applyAlignment="1">
      <alignment horizontal="center"/>
    </xf>
    <xf numFmtId="169" fontId="13" fillId="0" borderId="839" xfId="4" applyNumberFormat="1" applyFont="1" applyBorder="1" applyAlignment="1">
      <alignment horizontal="center"/>
    </xf>
    <xf numFmtId="168" fontId="7" fillId="4" borderId="839" xfId="1" applyNumberFormat="1" applyFont="1" applyFill="1" applyBorder="1" applyAlignment="1">
      <alignment horizontal="right"/>
    </xf>
    <xf numFmtId="1" fontId="7" fillId="0" borderId="840" xfId="4" applyNumberFormat="1" applyFont="1" applyBorder="1" applyAlignment="1">
      <alignment horizontal="center"/>
    </xf>
    <xf numFmtId="10" fontId="9" fillId="0" borderId="841" xfId="5" applyFont="1" applyBorder="1" applyAlignment="1">
      <alignment horizontal="center" vertical="center"/>
    </xf>
    <xf numFmtId="0" fontId="11" fillId="0" borderId="842" xfId="0" applyFont="1" applyBorder="1" applyAlignment="1">
      <alignment horizontal="center"/>
    </xf>
    <xf numFmtId="2" fontId="7" fillId="0" borderId="843" xfId="4" applyNumberFormat="1" applyFont="1" applyBorder="1" applyAlignment="1">
      <alignment horizontal="center"/>
    </xf>
    <xf numFmtId="0" fontId="11" fillId="4" borderId="842" xfId="0" applyFont="1" applyFill="1" applyBorder="1" applyAlignment="1">
      <alignment horizontal="center"/>
    </xf>
    <xf numFmtId="168" fontId="7" fillId="4" borderId="843" xfId="1" applyNumberFormat="1" applyFont="1" applyFill="1" applyBorder="1" applyAlignment="1">
      <alignment horizontal="center"/>
    </xf>
    <xf numFmtId="0" fontId="11" fillId="5" borderId="842" xfId="0" applyFont="1" applyFill="1" applyBorder="1" applyAlignment="1">
      <alignment horizontal="center"/>
    </xf>
    <xf numFmtId="169" fontId="7" fillId="5" borderId="843" xfId="4" applyNumberFormat="1" applyFont="1" applyFill="1" applyBorder="1" applyAlignment="1">
      <alignment horizontal="center"/>
    </xf>
    <xf numFmtId="0" fontId="12" fillId="0" borderId="842" xfId="0" applyFont="1" applyBorder="1" applyAlignment="1">
      <alignment horizontal="center"/>
    </xf>
    <xf numFmtId="169" fontId="13" fillId="0" borderId="843" xfId="4" applyNumberFormat="1" applyFont="1" applyBorder="1" applyAlignment="1">
      <alignment horizontal="center"/>
    </xf>
    <xf numFmtId="168" fontId="7" fillId="4" borderId="843" xfId="1" applyNumberFormat="1" applyFont="1" applyFill="1" applyBorder="1" applyAlignment="1">
      <alignment horizontal="right"/>
    </xf>
    <xf numFmtId="1" fontId="7" fillId="0" borderId="844" xfId="4" applyNumberFormat="1" applyFont="1" applyBorder="1" applyAlignment="1">
      <alignment horizontal="center"/>
    </xf>
    <xf numFmtId="10" fontId="9" fillId="0" borderId="845" xfId="5" applyFont="1" applyBorder="1" applyAlignment="1">
      <alignment horizontal="center" vertical="center"/>
    </xf>
    <xf numFmtId="0" fontId="11" fillId="0" borderId="846" xfId="0" applyFont="1" applyBorder="1" applyAlignment="1">
      <alignment horizontal="center"/>
    </xf>
    <xf numFmtId="2" fontId="7" fillId="0" borderId="847" xfId="4" applyNumberFormat="1" applyFont="1" applyBorder="1" applyAlignment="1">
      <alignment horizontal="center"/>
    </xf>
    <xf numFmtId="0" fontId="11" fillId="4" borderId="846" xfId="0" applyFont="1" applyFill="1" applyBorder="1" applyAlignment="1">
      <alignment horizontal="center"/>
    </xf>
    <xf numFmtId="168" fontId="7" fillId="4" borderId="847" xfId="1" applyNumberFormat="1" applyFont="1" applyFill="1" applyBorder="1" applyAlignment="1">
      <alignment horizontal="center"/>
    </xf>
    <xf numFmtId="0" fontId="11" fillId="5" borderId="846" xfId="0" applyFont="1" applyFill="1" applyBorder="1" applyAlignment="1">
      <alignment horizontal="center"/>
    </xf>
    <xf numFmtId="169" fontId="7" fillId="5" borderId="847" xfId="4" applyNumberFormat="1" applyFont="1" applyFill="1" applyBorder="1" applyAlignment="1">
      <alignment horizontal="center"/>
    </xf>
    <xf numFmtId="0" fontId="12" fillId="0" borderId="846" xfId="0" applyFont="1" applyBorder="1" applyAlignment="1">
      <alignment horizontal="center"/>
    </xf>
    <xf numFmtId="169" fontId="13" fillId="0" borderId="847" xfId="4" applyNumberFormat="1" applyFont="1" applyBorder="1" applyAlignment="1">
      <alignment horizontal="center"/>
    </xf>
    <xf numFmtId="168" fontId="7" fillId="4" borderId="847" xfId="1" applyNumberFormat="1" applyFont="1" applyFill="1" applyBorder="1" applyAlignment="1">
      <alignment horizontal="right"/>
    </xf>
    <xf numFmtId="1" fontId="7" fillId="0" borderId="848" xfId="4" applyNumberFormat="1" applyFont="1" applyBorder="1" applyAlignment="1">
      <alignment horizontal="center"/>
    </xf>
    <xf numFmtId="10" fontId="9" fillId="0" borderId="849" xfId="5" applyFont="1" applyBorder="1" applyAlignment="1">
      <alignment horizontal="center" vertical="center"/>
    </xf>
    <xf numFmtId="0" fontId="11" fillId="0" borderId="850" xfId="0" applyFont="1" applyBorder="1" applyAlignment="1">
      <alignment horizontal="center"/>
    </xf>
    <xf numFmtId="2" fontId="7" fillId="0" borderId="851" xfId="4" applyNumberFormat="1" applyFont="1" applyBorder="1" applyAlignment="1">
      <alignment horizontal="center"/>
    </xf>
    <xf numFmtId="0" fontId="11" fillId="4" borderId="850" xfId="0" applyFont="1" applyFill="1" applyBorder="1" applyAlignment="1">
      <alignment horizontal="center"/>
    </xf>
    <xf numFmtId="168" fontId="7" fillId="4" borderId="851" xfId="1" applyNumberFormat="1" applyFont="1" applyFill="1" applyBorder="1" applyAlignment="1">
      <alignment horizontal="center"/>
    </xf>
    <xf numFmtId="0" fontId="11" fillId="5" borderId="850" xfId="0" applyFont="1" applyFill="1" applyBorder="1" applyAlignment="1">
      <alignment horizontal="center"/>
    </xf>
    <xf numFmtId="169" fontId="7" fillId="5" borderId="851" xfId="4" applyNumberFormat="1" applyFont="1" applyFill="1" applyBorder="1" applyAlignment="1">
      <alignment horizontal="center"/>
    </xf>
    <xf numFmtId="0" fontId="12" fillId="0" borderId="850" xfId="0" applyFont="1" applyBorder="1" applyAlignment="1">
      <alignment horizontal="center"/>
    </xf>
    <xf numFmtId="169" fontId="13" fillId="0" borderId="851" xfId="4" applyNumberFormat="1" applyFont="1" applyBorder="1" applyAlignment="1">
      <alignment horizontal="center"/>
    </xf>
    <xf numFmtId="168" fontId="7" fillId="4" borderId="851" xfId="1" applyNumberFormat="1" applyFont="1" applyFill="1" applyBorder="1" applyAlignment="1">
      <alignment horizontal="right"/>
    </xf>
    <xf numFmtId="1" fontId="7" fillId="0" borderId="852" xfId="4" applyNumberFormat="1" applyFont="1" applyBorder="1" applyAlignment="1">
      <alignment horizontal="center"/>
    </xf>
    <xf numFmtId="10" fontId="9" fillId="0" borderId="853" xfId="5" applyFont="1" applyBorder="1" applyAlignment="1">
      <alignment horizontal="center" vertical="center"/>
    </xf>
    <xf numFmtId="0" fontId="11" fillId="0" borderId="854" xfId="0" applyFont="1" applyBorder="1" applyAlignment="1">
      <alignment horizontal="center"/>
    </xf>
    <xf numFmtId="2" fontId="7" fillId="0" borderId="855" xfId="4" applyNumberFormat="1" applyFont="1" applyBorder="1" applyAlignment="1">
      <alignment horizontal="center"/>
    </xf>
    <xf numFmtId="0" fontId="11" fillId="4" borderId="854" xfId="0" applyFont="1" applyFill="1" applyBorder="1" applyAlignment="1">
      <alignment horizontal="center"/>
    </xf>
    <xf numFmtId="168" fontId="7" fillId="4" borderId="855" xfId="1" applyNumberFormat="1" applyFont="1" applyFill="1" applyBorder="1" applyAlignment="1">
      <alignment horizontal="center"/>
    </xf>
    <xf numFmtId="0" fontId="11" fillId="5" borderId="854" xfId="0" applyFont="1" applyFill="1" applyBorder="1" applyAlignment="1">
      <alignment horizontal="center"/>
    </xf>
    <xf numFmtId="169" fontId="7" fillId="5" borderId="855" xfId="4" applyNumberFormat="1" applyFont="1" applyFill="1" applyBorder="1" applyAlignment="1">
      <alignment horizontal="center"/>
    </xf>
    <xf numFmtId="0" fontId="12" fillId="0" borderId="854" xfId="0" applyFont="1" applyBorder="1" applyAlignment="1">
      <alignment horizontal="center"/>
    </xf>
    <xf numFmtId="169" fontId="13" fillId="0" borderId="855" xfId="4" applyNumberFormat="1" applyFont="1" applyBorder="1" applyAlignment="1">
      <alignment horizontal="center"/>
    </xf>
    <xf numFmtId="168" fontId="7" fillId="4" borderId="855" xfId="1" applyNumberFormat="1" applyFont="1" applyFill="1" applyBorder="1" applyAlignment="1">
      <alignment horizontal="right"/>
    </xf>
    <xf numFmtId="1" fontId="7" fillId="0" borderId="856" xfId="4" applyNumberFormat="1" applyFont="1" applyBorder="1" applyAlignment="1">
      <alignment horizontal="center"/>
    </xf>
    <xf numFmtId="10" fontId="9" fillId="0" borderId="857" xfId="5" applyFont="1" applyBorder="1" applyAlignment="1">
      <alignment horizontal="center" vertical="center"/>
    </xf>
    <xf numFmtId="0" fontId="11" fillId="0" borderId="858" xfId="0" applyFont="1" applyBorder="1" applyAlignment="1">
      <alignment horizontal="center"/>
    </xf>
    <xf numFmtId="2" fontId="7" fillId="0" borderId="859" xfId="4" applyNumberFormat="1" applyFont="1" applyBorder="1" applyAlignment="1">
      <alignment horizontal="center"/>
    </xf>
    <xf numFmtId="0" fontId="11" fillId="4" borderId="858" xfId="0" applyFont="1" applyFill="1" applyBorder="1" applyAlignment="1">
      <alignment horizontal="center"/>
    </xf>
    <xf numFmtId="168" fontId="7" fillId="4" borderId="859" xfId="1" applyNumberFormat="1" applyFont="1" applyFill="1" applyBorder="1" applyAlignment="1">
      <alignment horizontal="center"/>
    </xf>
    <xf numFmtId="0" fontId="11" fillId="5" borderId="858" xfId="0" applyFont="1" applyFill="1" applyBorder="1" applyAlignment="1">
      <alignment horizontal="center"/>
    </xf>
    <xf numFmtId="169" fontId="7" fillId="5" borderId="859" xfId="4" applyNumberFormat="1" applyFont="1" applyFill="1" applyBorder="1" applyAlignment="1">
      <alignment horizontal="center"/>
    </xf>
    <xf numFmtId="0" fontId="12" fillId="0" borderId="858" xfId="0" applyFont="1" applyBorder="1" applyAlignment="1">
      <alignment horizontal="center"/>
    </xf>
    <xf numFmtId="169" fontId="13" fillId="0" borderId="859" xfId="4" applyNumberFormat="1" applyFont="1" applyBorder="1" applyAlignment="1">
      <alignment horizontal="center"/>
    </xf>
    <xf numFmtId="168" fontId="7" fillId="4" borderId="859" xfId="1" applyNumberFormat="1" applyFont="1" applyFill="1" applyBorder="1" applyAlignment="1">
      <alignment horizontal="right"/>
    </xf>
    <xf numFmtId="1" fontId="7" fillId="0" borderId="860" xfId="4" applyNumberFormat="1" applyFont="1" applyBorder="1" applyAlignment="1">
      <alignment horizontal="center"/>
    </xf>
    <xf numFmtId="10" fontId="9" fillId="0" borderId="861" xfId="5" applyFont="1" applyBorder="1" applyAlignment="1">
      <alignment horizontal="center" vertical="center"/>
    </xf>
    <xf numFmtId="0" fontId="11" fillId="0" borderId="862" xfId="0" applyFont="1" applyBorder="1" applyAlignment="1">
      <alignment horizontal="center"/>
    </xf>
    <xf numFmtId="2" fontId="7" fillId="0" borderId="863" xfId="4" applyNumberFormat="1" applyFont="1" applyBorder="1" applyAlignment="1">
      <alignment horizontal="center"/>
    </xf>
    <xf numFmtId="0" fontId="11" fillId="4" borderId="862" xfId="0" applyFont="1" applyFill="1" applyBorder="1" applyAlignment="1">
      <alignment horizontal="center"/>
    </xf>
    <xf numFmtId="168" fontId="7" fillId="4" borderId="863" xfId="1" applyNumberFormat="1" applyFont="1" applyFill="1" applyBorder="1" applyAlignment="1">
      <alignment horizontal="center"/>
    </xf>
    <xf numFmtId="0" fontId="11" fillId="5" borderId="862" xfId="0" applyFont="1" applyFill="1" applyBorder="1" applyAlignment="1">
      <alignment horizontal="center"/>
    </xf>
    <xf numFmtId="169" fontId="7" fillId="5" borderId="863" xfId="4" applyNumberFormat="1" applyFont="1" applyFill="1" applyBorder="1" applyAlignment="1">
      <alignment horizontal="center"/>
    </xf>
    <xf numFmtId="0" fontId="12" fillId="0" borderId="862" xfId="0" applyFont="1" applyBorder="1" applyAlignment="1">
      <alignment horizontal="center"/>
    </xf>
    <xf numFmtId="169" fontId="13" fillId="0" borderId="863" xfId="4" applyNumberFormat="1" applyFont="1" applyBorder="1" applyAlignment="1">
      <alignment horizontal="center"/>
    </xf>
    <xf numFmtId="168" fontId="7" fillId="4" borderId="863" xfId="1" applyNumberFormat="1" applyFont="1" applyFill="1" applyBorder="1" applyAlignment="1">
      <alignment horizontal="right"/>
    </xf>
    <xf numFmtId="1" fontId="7" fillId="0" borderId="864" xfId="4" applyNumberFormat="1" applyFont="1" applyBorder="1" applyAlignment="1">
      <alignment horizontal="center"/>
    </xf>
    <xf numFmtId="10" fontId="9" fillId="0" borderId="865" xfId="5" applyFont="1" applyBorder="1" applyAlignment="1">
      <alignment horizontal="center" vertical="center"/>
    </xf>
    <xf numFmtId="0" fontId="11" fillId="0" borderId="866" xfId="0" applyFont="1" applyBorder="1" applyAlignment="1">
      <alignment horizontal="center"/>
    </xf>
    <xf numFmtId="2" fontId="7" fillId="0" borderId="867" xfId="4" applyNumberFormat="1" applyFont="1" applyBorder="1" applyAlignment="1">
      <alignment horizontal="center"/>
    </xf>
    <xf numFmtId="0" fontId="11" fillId="4" borderId="866" xfId="0" applyFont="1" applyFill="1" applyBorder="1" applyAlignment="1">
      <alignment horizontal="center"/>
    </xf>
    <xf numFmtId="168" fontId="7" fillId="4" borderId="867" xfId="1" applyNumberFormat="1" applyFont="1" applyFill="1" applyBorder="1" applyAlignment="1">
      <alignment horizontal="center"/>
    </xf>
    <xf numFmtId="0" fontId="11" fillId="5" borderId="866" xfId="0" applyFont="1" applyFill="1" applyBorder="1" applyAlignment="1">
      <alignment horizontal="center"/>
    </xf>
    <xf numFmtId="169" fontId="7" fillId="5" borderId="867" xfId="4" applyNumberFormat="1" applyFont="1" applyFill="1" applyBorder="1" applyAlignment="1">
      <alignment horizontal="center"/>
    </xf>
    <xf numFmtId="0" fontId="12" fillId="0" borderId="866" xfId="0" applyFont="1" applyBorder="1" applyAlignment="1">
      <alignment horizontal="center"/>
    </xf>
    <xf numFmtId="169" fontId="13" fillId="0" borderId="867" xfId="4" applyNumberFormat="1" applyFont="1" applyBorder="1" applyAlignment="1">
      <alignment horizontal="center"/>
    </xf>
    <xf numFmtId="168" fontId="7" fillId="4" borderId="867" xfId="1" applyNumberFormat="1" applyFont="1" applyFill="1" applyBorder="1" applyAlignment="1">
      <alignment horizontal="right"/>
    </xf>
    <xf numFmtId="1" fontId="7" fillId="0" borderId="868" xfId="4" applyNumberFormat="1" applyFont="1" applyBorder="1" applyAlignment="1">
      <alignment horizontal="center"/>
    </xf>
    <xf numFmtId="10" fontId="9" fillId="0" borderId="869" xfId="5" applyFont="1" applyBorder="1" applyAlignment="1">
      <alignment horizontal="center" vertical="center"/>
    </xf>
    <xf numFmtId="0" fontId="11" fillId="0" borderId="870" xfId="0" applyFont="1" applyBorder="1" applyAlignment="1">
      <alignment horizontal="center"/>
    </xf>
    <xf numFmtId="2" fontId="7" fillId="0" borderId="871" xfId="4" applyNumberFormat="1" applyFont="1" applyBorder="1" applyAlignment="1">
      <alignment horizontal="center"/>
    </xf>
    <xf numFmtId="0" fontId="11" fillId="4" borderId="870" xfId="0" applyFont="1" applyFill="1" applyBorder="1" applyAlignment="1">
      <alignment horizontal="center"/>
    </xf>
    <xf numFmtId="168" fontId="7" fillId="4" borderId="871" xfId="1" applyNumberFormat="1" applyFont="1" applyFill="1" applyBorder="1" applyAlignment="1">
      <alignment horizontal="center"/>
    </xf>
    <xf numFmtId="0" fontId="11" fillId="5" borderId="870" xfId="0" applyFont="1" applyFill="1" applyBorder="1" applyAlignment="1">
      <alignment horizontal="center"/>
    </xf>
    <xf numFmtId="169" fontId="7" fillId="5" borderId="871" xfId="4" applyNumberFormat="1" applyFont="1" applyFill="1" applyBorder="1" applyAlignment="1">
      <alignment horizontal="center"/>
    </xf>
    <xf numFmtId="0" fontId="12" fillId="0" borderId="870" xfId="0" applyFont="1" applyBorder="1" applyAlignment="1">
      <alignment horizontal="center"/>
    </xf>
    <xf numFmtId="169" fontId="13" fillId="0" borderId="871" xfId="4" applyNumberFormat="1" applyFont="1" applyBorder="1" applyAlignment="1">
      <alignment horizontal="center"/>
    </xf>
    <xf numFmtId="168" fontId="7" fillId="4" borderId="871" xfId="1" applyNumberFormat="1" applyFont="1" applyFill="1" applyBorder="1" applyAlignment="1">
      <alignment horizontal="right"/>
    </xf>
    <xf numFmtId="1" fontId="7" fillId="0" borderId="872" xfId="4" applyNumberFormat="1" applyFont="1" applyBorder="1" applyAlignment="1">
      <alignment horizontal="center"/>
    </xf>
    <xf numFmtId="10" fontId="9" fillId="0" borderId="873" xfId="5" applyFont="1" applyBorder="1" applyAlignment="1">
      <alignment horizontal="center" vertical="center"/>
    </xf>
    <xf numFmtId="0" fontId="11" fillId="0" borderId="874" xfId="0" applyFont="1" applyBorder="1" applyAlignment="1">
      <alignment horizontal="center"/>
    </xf>
    <xf numFmtId="2" fontId="7" fillId="0" borderId="875" xfId="4" applyNumberFormat="1" applyFont="1" applyBorder="1" applyAlignment="1">
      <alignment horizontal="center"/>
    </xf>
    <xf numFmtId="0" fontId="11" fillId="4" borderId="874" xfId="0" applyFont="1" applyFill="1" applyBorder="1" applyAlignment="1">
      <alignment horizontal="center"/>
    </xf>
    <xf numFmtId="168" fontId="7" fillId="4" borderId="875" xfId="1" applyNumberFormat="1" applyFont="1" applyFill="1" applyBorder="1" applyAlignment="1">
      <alignment horizontal="center"/>
    </xf>
    <xf numFmtId="0" fontId="11" fillId="5" borderId="874" xfId="0" applyFont="1" applyFill="1" applyBorder="1" applyAlignment="1">
      <alignment horizontal="center"/>
    </xf>
    <xf numFmtId="169" fontId="7" fillId="5" borderId="875" xfId="4" applyNumberFormat="1" applyFont="1" applyFill="1" applyBorder="1" applyAlignment="1">
      <alignment horizontal="center"/>
    </xf>
    <xf numFmtId="0" fontId="12" fillId="0" borderId="874" xfId="0" applyFont="1" applyBorder="1" applyAlignment="1">
      <alignment horizontal="center"/>
    </xf>
    <xf numFmtId="169" fontId="13" fillId="0" borderId="875" xfId="4" applyNumberFormat="1" applyFont="1" applyBorder="1" applyAlignment="1">
      <alignment horizontal="center"/>
    </xf>
    <xf numFmtId="168" fontId="7" fillId="4" borderId="875" xfId="1" applyNumberFormat="1" applyFont="1" applyFill="1" applyBorder="1" applyAlignment="1">
      <alignment horizontal="right"/>
    </xf>
    <xf numFmtId="1" fontId="7" fillId="0" borderId="876" xfId="4" applyNumberFormat="1" applyFont="1" applyBorder="1" applyAlignment="1">
      <alignment horizontal="center"/>
    </xf>
    <xf numFmtId="10" fontId="9" fillId="0" borderId="877" xfId="5" applyFont="1" applyBorder="1" applyAlignment="1">
      <alignment horizontal="center" vertical="center"/>
    </xf>
    <xf numFmtId="0" fontId="11" fillId="0" borderId="878" xfId="0" applyFont="1" applyBorder="1" applyAlignment="1">
      <alignment horizontal="center"/>
    </xf>
    <xf numFmtId="2" fontId="7" fillId="0" borderId="879" xfId="4" applyNumberFormat="1" applyFont="1" applyBorder="1" applyAlignment="1">
      <alignment horizontal="center"/>
    </xf>
    <xf numFmtId="0" fontId="11" fillId="4" borderId="878" xfId="0" applyFont="1" applyFill="1" applyBorder="1" applyAlignment="1">
      <alignment horizontal="center"/>
    </xf>
    <xf numFmtId="168" fontId="7" fillId="4" borderId="879" xfId="1" applyNumberFormat="1" applyFont="1" applyFill="1" applyBorder="1" applyAlignment="1">
      <alignment horizontal="center"/>
    </xf>
    <xf numFmtId="0" fontId="11" fillId="5" borderId="878" xfId="0" applyFont="1" applyFill="1" applyBorder="1" applyAlignment="1">
      <alignment horizontal="center"/>
    </xf>
    <xf numFmtId="169" fontId="7" fillId="5" borderId="879" xfId="4" applyNumberFormat="1" applyFont="1" applyFill="1" applyBorder="1" applyAlignment="1">
      <alignment horizontal="center"/>
    </xf>
    <xf numFmtId="0" fontId="12" fillId="0" borderId="878" xfId="0" applyFont="1" applyBorder="1" applyAlignment="1">
      <alignment horizontal="center"/>
    </xf>
    <xf numFmtId="169" fontId="13" fillId="0" borderId="879" xfId="4" applyNumberFormat="1" applyFont="1" applyBorder="1" applyAlignment="1">
      <alignment horizontal="center"/>
    </xf>
    <xf numFmtId="168" fontId="7" fillId="4" borderId="879" xfId="1" applyNumberFormat="1" applyFont="1" applyFill="1" applyBorder="1" applyAlignment="1">
      <alignment horizontal="right"/>
    </xf>
    <xf numFmtId="1" fontId="7" fillId="0" borderId="880" xfId="4" applyNumberFormat="1" applyFont="1" applyBorder="1" applyAlignment="1">
      <alignment horizontal="center"/>
    </xf>
    <xf numFmtId="10" fontId="9" fillId="0" borderId="881" xfId="5" applyFont="1" applyBorder="1" applyAlignment="1">
      <alignment horizontal="center" vertical="center"/>
    </xf>
    <xf numFmtId="0" fontId="11" fillId="0" borderId="882" xfId="0" applyFont="1" applyBorder="1" applyAlignment="1">
      <alignment horizontal="center"/>
    </xf>
    <xf numFmtId="2" fontId="7" fillId="0" borderId="883" xfId="4" applyNumberFormat="1" applyFont="1" applyBorder="1" applyAlignment="1">
      <alignment horizontal="center"/>
    </xf>
    <xf numFmtId="0" fontId="11" fillId="4" borderId="882" xfId="0" applyFont="1" applyFill="1" applyBorder="1" applyAlignment="1">
      <alignment horizontal="center"/>
    </xf>
    <xf numFmtId="168" fontId="7" fillId="4" borderId="883" xfId="1" applyNumberFormat="1" applyFont="1" applyFill="1" applyBorder="1" applyAlignment="1">
      <alignment horizontal="center"/>
    </xf>
    <xf numFmtId="0" fontId="11" fillId="5" borderId="882" xfId="0" applyFont="1" applyFill="1" applyBorder="1" applyAlignment="1">
      <alignment horizontal="center"/>
    </xf>
    <xf numFmtId="169" fontId="7" fillId="5" borderId="883" xfId="4" applyNumberFormat="1" applyFont="1" applyFill="1" applyBorder="1" applyAlignment="1">
      <alignment horizontal="center"/>
    </xf>
    <xf numFmtId="0" fontId="12" fillId="0" borderId="882" xfId="0" applyFont="1" applyBorder="1" applyAlignment="1">
      <alignment horizontal="center"/>
    </xf>
    <xf numFmtId="169" fontId="13" fillId="0" borderId="883" xfId="4" applyNumberFormat="1" applyFont="1" applyBorder="1" applyAlignment="1">
      <alignment horizontal="center"/>
    </xf>
    <xf numFmtId="168" fontId="7" fillId="4" borderId="883" xfId="1" applyNumberFormat="1" applyFont="1" applyFill="1" applyBorder="1" applyAlignment="1">
      <alignment horizontal="right"/>
    </xf>
    <xf numFmtId="1" fontId="7" fillId="0" borderId="884" xfId="4" applyNumberFormat="1" applyFont="1" applyBorder="1" applyAlignment="1">
      <alignment horizontal="center"/>
    </xf>
    <xf numFmtId="10" fontId="9" fillId="0" borderId="885" xfId="5" applyFont="1" applyBorder="1" applyAlignment="1">
      <alignment horizontal="center" vertical="center"/>
    </xf>
    <xf numFmtId="0" fontId="11" fillId="0" borderId="886" xfId="0" applyFont="1" applyBorder="1" applyAlignment="1">
      <alignment horizontal="center"/>
    </xf>
    <xf numFmtId="2" fontId="7" fillId="0" borderId="887" xfId="4" applyNumberFormat="1" applyFont="1" applyBorder="1" applyAlignment="1">
      <alignment horizontal="center"/>
    </xf>
    <xf numFmtId="0" fontId="11" fillId="4" borderId="886" xfId="0" applyFont="1" applyFill="1" applyBorder="1" applyAlignment="1">
      <alignment horizontal="center"/>
    </xf>
    <xf numFmtId="168" fontId="7" fillId="4" borderId="887" xfId="1" applyNumberFormat="1" applyFont="1" applyFill="1" applyBorder="1" applyAlignment="1">
      <alignment horizontal="center"/>
    </xf>
    <xf numFmtId="0" fontId="11" fillId="5" borderId="886" xfId="0" applyFont="1" applyFill="1" applyBorder="1" applyAlignment="1">
      <alignment horizontal="center"/>
    </xf>
    <xf numFmtId="169" fontId="7" fillId="5" borderId="887" xfId="4" applyNumberFormat="1" applyFont="1" applyFill="1" applyBorder="1" applyAlignment="1">
      <alignment horizontal="center"/>
    </xf>
    <xf numFmtId="0" fontId="12" fillId="0" borderId="886" xfId="0" applyFont="1" applyBorder="1" applyAlignment="1">
      <alignment horizontal="center"/>
    </xf>
    <xf numFmtId="169" fontId="13" fillId="0" borderId="887" xfId="4" applyNumberFormat="1" applyFont="1" applyBorder="1" applyAlignment="1">
      <alignment horizontal="center"/>
    </xf>
    <xf numFmtId="168" fontId="7" fillId="4" borderId="887" xfId="1" applyNumberFormat="1" applyFont="1" applyFill="1" applyBorder="1" applyAlignment="1">
      <alignment horizontal="right"/>
    </xf>
    <xf numFmtId="1" fontId="7" fillId="0" borderId="888" xfId="4" applyNumberFormat="1" applyFont="1" applyBorder="1" applyAlignment="1">
      <alignment horizontal="center"/>
    </xf>
    <xf numFmtId="10" fontId="9" fillId="0" borderId="889" xfId="5" applyFont="1" applyBorder="1" applyAlignment="1">
      <alignment horizontal="center" vertical="center"/>
    </xf>
    <xf numFmtId="0" fontId="11" fillId="0" borderId="890" xfId="0" applyFont="1" applyBorder="1" applyAlignment="1">
      <alignment horizontal="center"/>
    </xf>
    <xf numFmtId="2" fontId="7" fillId="0" borderId="891" xfId="4" applyNumberFormat="1" applyFont="1" applyBorder="1" applyAlignment="1">
      <alignment horizontal="center"/>
    </xf>
    <xf numFmtId="0" fontId="11" fillId="4" borderId="890" xfId="0" applyFont="1" applyFill="1" applyBorder="1" applyAlignment="1">
      <alignment horizontal="center"/>
    </xf>
    <xf numFmtId="168" fontId="7" fillId="4" borderId="891" xfId="1" applyNumberFormat="1" applyFont="1" applyFill="1" applyBorder="1" applyAlignment="1">
      <alignment horizontal="center"/>
    </xf>
    <xf numFmtId="0" fontId="11" fillId="5" borderId="890" xfId="0" applyFont="1" applyFill="1" applyBorder="1" applyAlignment="1">
      <alignment horizontal="center"/>
    </xf>
    <xf numFmtId="169" fontId="7" fillId="5" borderId="891" xfId="4" applyNumberFormat="1" applyFont="1" applyFill="1" applyBorder="1" applyAlignment="1">
      <alignment horizontal="center"/>
    </xf>
    <xf numFmtId="0" fontId="12" fillId="0" borderId="890" xfId="0" applyFont="1" applyBorder="1" applyAlignment="1">
      <alignment horizontal="center"/>
    </xf>
    <xf numFmtId="169" fontId="13" fillId="0" borderId="891" xfId="4" applyNumberFormat="1" applyFont="1" applyBorder="1" applyAlignment="1">
      <alignment horizontal="center"/>
    </xf>
    <xf numFmtId="168" fontId="7" fillId="4" borderId="891" xfId="1" applyNumberFormat="1" applyFont="1" applyFill="1" applyBorder="1" applyAlignment="1">
      <alignment horizontal="right"/>
    </xf>
    <xf numFmtId="1" fontId="7" fillId="0" borderId="892" xfId="4" applyNumberFormat="1" applyFont="1" applyBorder="1" applyAlignment="1">
      <alignment horizontal="center"/>
    </xf>
    <xf numFmtId="10" fontId="9" fillId="0" borderId="893" xfId="5" applyFont="1" applyBorder="1" applyAlignment="1">
      <alignment horizontal="center" vertical="center"/>
    </xf>
    <xf numFmtId="0" fontId="11" fillId="0" borderId="894" xfId="0" applyFont="1" applyBorder="1" applyAlignment="1">
      <alignment horizontal="center"/>
    </xf>
    <xf numFmtId="2" fontId="7" fillId="0" borderId="895" xfId="4" applyNumberFormat="1" applyFont="1" applyBorder="1" applyAlignment="1">
      <alignment horizontal="center"/>
    </xf>
    <xf numFmtId="0" fontId="11" fillId="4" borderId="894" xfId="0" applyFont="1" applyFill="1" applyBorder="1" applyAlignment="1">
      <alignment horizontal="center"/>
    </xf>
    <xf numFmtId="168" fontId="7" fillId="4" borderId="895" xfId="1" applyNumberFormat="1" applyFont="1" applyFill="1" applyBorder="1" applyAlignment="1">
      <alignment horizontal="center"/>
    </xf>
    <xf numFmtId="0" fontId="11" fillId="5" borderId="894" xfId="0" applyFont="1" applyFill="1" applyBorder="1" applyAlignment="1">
      <alignment horizontal="center"/>
    </xf>
    <xf numFmtId="169" fontId="7" fillId="5" borderId="895" xfId="4" applyNumberFormat="1" applyFont="1" applyFill="1" applyBorder="1" applyAlignment="1">
      <alignment horizontal="center"/>
    </xf>
    <xf numFmtId="0" fontId="12" fillId="0" borderId="894" xfId="0" applyFont="1" applyBorder="1" applyAlignment="1">
      <alignment horizontal="center"/>
    </xf>
    <xf numFmtId="169" fontId="13" fillId="0" borderId="895" xfId="4" applyNumberFormat="1" applyFont="1" applyBorder="1" applyAlignment="1">
      <alignment horizontal="center"/>
    </xf>
    <xf numFmtId="168" fontId="7" fillId="4" borderId="895" xfId="1" applyNumberFormat="1" applyFont="1" applyFill="1" applyBorder="1" applyAlignment="1">
      <alignment horizontal="right"/>
    </xf>
    <xf numFmtId="1" fontId="7" fillId="0" borderId="896" xfId="4" applyNumberFormat="1" applyFont="1" applyBorder="1" applyAlignment="1">
      <alignment horizontal="center"/>
    </xf>
    <xf numFmtId="10" fontId="9" fillId="0" borderId="897" xfId="5" applyFont="1" applyBorder="1" applyAlignment="1">
      <alignment horizontal="center" vertical="center"/>
    </xf>
    <xf numFmtId="0" fontId="11" fillId="0" borderId="898" xfId="0" applyFont="1" applyBorder="1" applyAlignment="1">
      <alignment horizontal="center"/>
    </xf>
    <xf numFmtId="2" fontId="7" fillId="0" borderId="899" xfId="4" applyNumberFormat="1" applyFont="1" applyBorder="1" applyAlignment="1">
      <alignment horizontal="center"/>
    </xf>
    <xf numFmtId="0" fontId="11" fillId="4" borderId="898" xfId="0" applyFont="1" applyFill="1" applyBorder="1" applyAlignment="1">
      <alignment horizontal="center"/>
    </xf>
    <xf numFmtId="168" fontId="7" fillId="4" borderId="899" xfId="1" applyNumberFormat="1" applyFont="1" applyFill="1" applyBorder="1" applyAlignment="1">
      <alignment horizontal="center"/>
    </xf>
    <xf numFmtId="0" fontId="11" fillId="5" borderId="898" xfId="0" applyFont="1" applyFill="1" applyBorder="1" applyAlignment="1">
      <alignment horizontal="center"/>
    </xf>
    <xf numFmtId="169" fontId="7" fillId="5" borderId="899" xfId="4" applyNumberFormat="1" applyFont="1" applyFill="1" applyBorder="1" applyAlignment="1">
      <alignment horizontal="center"/>
    </xf>
    <xf numFmtId="0" fontId="12" fillId="0" borderId="898" xfId="0" applyFont="1" applyBorder="1" applyAlignment="1">
      <alignment horizontal="center"/>
    </xf>
    <xf numFmtId="169" fontId="13" fillId="0" borderId="899" xfId="4" applyNumberFormat="1" applyFont="1" applyBorder="1" applyAlignment="1">
      <alignment horizontal="center"/>
    </xf>
    <xf numFmtId="168" fontId="7" fillId="4" borderId="899" xfId="1" applyNumberFormat="1" applyFont="1" applyFill="1" applyBorder="1" applyAlignment="1">
      <alignment horizontal="right"/>
    </xf>
    <xf numFmtId="1" fontId="7" fillId="0" borderId="900" xfId="4" applyNumberFormat="1" applyFont="1" applyBorder="1" applyAlignment="1">
      <alignment horizontal="center"/>
    </xf>
    <xf numFmtId="10" fontId="9" fillId="0" borderId="901" xfId="5" applyFont="1" applyBorder="1" applyAlignment="1">
      <alignment horizontal="center" vertical="center"/>
    </xf>
    <xf numFmtId="0" fontId="11" fillId="0" borderId="902" xfId="0" applyFont="1" applyBorder="1" applyAlignment="1">
      <alignment horizontal="center"/>
    </xf>
    <xf numFmtId="2" fontId="7" fillId="0" borderId="903" xfId="4" applyNumberFormat="1" applyFont="1" applyBorder="1" applyAlignment="1">
      <alignment horizontal="center"/>
    </xf>
    <xf numFmtId="0" fontId="11" fillId="4" borderId="902" xfId="0" applyFont="1" applyFill="1" applyBorder="1" applyAlignment="1">
      <alignment horizontal="center"/>
    </xf>
    <xf numFmtId="168" fontId="7" fillId="4" borderId="903" xfId="1" applyNumberFormat="1" applyFont="1" applyFill="1" applyBorder="1" applyAlignment="1">
      <alignment horizontal="center"/>
    </xf>
    <xf numFmtId="0" fontId="11" fillId="5" borderId="902" xfId="0" applyFont="1" applyFill="1" applyBorder="1" applyAlignment="1">
      <alignment horizontal="center"/>
    </xf>
    <xf numFmtId="169" fontId="7" fillId="5" borderId="903" xfId="4" applyNumberFormat="1" applyFont="1" applyFill="1" applyBorder="1" applyAlignment="1">
      <alignment horizontal="center"/>
    </xf>
    <xf numFmtId="0" fontId="12" fillId="0" borderId="902" xfId="0" applyFont="1" applyBorder="1" applyAlignment="1">
      <alignment horizontal="center"/>
    </xf>
    <xf numFmtId="169" fontId="13" fillId="0" borderId="903" xfId="4" applyNumberFormat="1" applyFont="1" applyBorder="1" applyAlignment="1">
      <alignment horizontal="center"/>
    </xf>
    <xf numFmtId="168" fontId="7" fillId="4" borderId="903" xfId="1" applyNumberFormat="1" applyFont="1" applyFill="1" applyBorder="1" applyAlignment="1">
      <alignment horizontal="right"/>
    </xf>
    <xf numFmtId="1" fontId="7" fillId="0" borderId="904" xfId="4" applyNumberFormat="1" applyFont="1" applyBorder="1" applyAlignment="1">
      <alignment horizontal="center"/>
    </xf>
    <xf numFmtId="10" fontId="9" fillId="0" borderId="905" xfId="5" applyFont="1" applyBorder="1" applyAlignment="1">
      <alignment horizontal="center" vertical="center"/>
    </xf>
    <xf numFmtId="0" fontId="11" fillId="0" borderId="906" xfId="0" applyFont="1" applyBorder="1" applyAlignment="1">
      <alignment horizontal="center"/>
    </xf>
    <xf numFmtId="2" fontId="7" fillId="0" borderId="907" xfId="4" applyNumberFormat="1" applyFont="1" applyBorder="1" applyAlignment="1">
      <alignment horizontal="center"/>
    </xf>
    <xf numFmtId="0" fontId="11" fillId="4" borderId="906" xfId="0" applyFont="1" applyFill="1" applyBorder="1" applyAlignment="1">
      <alignment horizontal="center"/>
    </xf>
    <xf numFmtId="168" fontId="7" fillId="4" borderId="907" xfId="1" applyNumberFormat="1" applyFont="1" applyFill="1" applyBorder="1" applyAlignment="1">
      <alignment horizontal="center"/>
    </xf>
    <xf numFmtId="0" fontId="11" fillId="5" borderId="906" xfId="0" applyFont="1" applyFill="1" applyBorder="1" applyAlignment="1">
      <alignment horizontal="center"/>
    </xf>
    <xf numFmtId="169" fontId="7" fillId="5" borderId="907" xfId="4" applyNumberFormat="1" applyFont="1" applyFill="1" applyBorder="1" applyAlignment="1">
      <alignment horizontal="center"/>
    </xf>
    <xf numFmtId="0" fontId="12" fillId="0" borderId="906" xfId="0" applyFont="1" applyBorder="1" applyAlignment="1">
      <alignment horizontal="center"/>
    </xf>
    <xf numFmtId="169" fontId="13" fillId="0" borderId="907" xfId="4" applyNumberFormat="1" applyFont="1" applyBorder="1" applyAlignment="1">
      <alignment horizontal="center"/>
    </xf>
    <xf numFmtId="168" fontId="7" fillId="4" borderId="907" xfId="1" applyNumberFormat="1" applyFont="1" applyFill="1" applyBorder="1" applyAlignment="1">
      <alignment horizontal="right"/>
    </xf>
    <xf numFmtId="1" fontId="7" fillId="0" borderId="908" xfId="4" applyNumberFormat="1" applyFont="1" applyBorder="1" applyAlignment="1">
      <alignment horizontal="center"/>
    </xf>
    <xf numFmtId="10" fontId="9" fillId="0" borderId="909" xfId="5" applyFont="1" applyBorder="1" applyAlignment="1">
      <alignment horizontal="center" vertical="center"/>
    </xf>
    <xf numFmtId="0" fontId="11" fillId="0" borderId="910" xfId="0" applyFont="1" applyBorder="1" applyAlignment="1">
      <alignment horizontal="center"/>
    </xf>
    <xf numFmtId="2" fontId="7" fillId="0" borderId="911" xfId="4" applyNumberFormat="1" applyFont="1" applyBorder="1" applyAlignment="1">
      <alignment horizontal="center"/>
    </xf>
    <xf numFmtId="0" fontId="11" fillId="4" borderId="910" xfId="0" applyFont="1" applyFill="1" applyBorder="1" applyAlignment="1">
      <alignment horizontal="center"/>
    </xf>
    <xf numFmtId="168" fontId="7" fillId="4" borderId="911" xfId="1" applyNumberFormat="1" applyFont="1" applyFill="1" applyBorder="1" applyAlignment="1">
      <alignment horizontal="center"/>
    </xf>
    <xf numFmtId="0" fontId="11" fillId="5" borderId="910" xfId="0" applyFont="1" applyFill="1" applyBorder="1" applyAlignment="1">
      <alignment horizontal="center"/>
    </xf>
    <xf numFmtId="169" fontId="7" fillId="5" borderId="911" xfId="4" applyNumberFormat="1" applyFont="1" applyFill="1" applyBorder="1" applyAlignment="1">
      <alignment horizontal="center"/>
    </xf>
    <xf numFmtId="0" fontId="12" fillId="0" borderId="910" xfId="0" applyFont="1" applyBorder="1" applyAlignment="1">
      <alignment horizontal="center"/>
    </xf>
    <xf numFmtId="169" fontId="13" fillId="0" borderId="911" xfId="4" applyNumberFormat="1" applyFont="1" applyBorder="1" applyAlignment="1">
      <alignment horizontal="center"/>
    </xf>
    <xf numFmtId="168" fontId="7" fillId="4" borderId="911" xfId="1" applyNumberFormat="1" applyFont="1" applyFill="1" applyBorder="1" applyAlignment="1">
      <alignment horizontal="right"/>
    </xf>
    <xf numFmtId="1" fontId="7" fillId="0" borderId="912" xfId="4" applyNumberFormat="1" applyFont="1" applyBorder="1" applyAlignment="1">
      <alignment horizontal="center"/>
    </xf>
    <xf numFmtId="10" fontId="9" fillId="0" borderId="913" xfId="5" applyFont="1" applyBorder="1" applyAlignment="1">
      <alignment horizontal="center" vertical="center"/>
    </xf>
    <xf numFmtId="0" fontId="11" fillId="0" borderId="914" xfId="0" applyFont="1" applyBorder="1" applyAlignment="1">
      <alignment horizontal="center"/>
    </xf>
    <xf numFmtId="2" fontId="7" fillId="0" borderId="915" xfId="4" applyNumberFormat="1" applyFont="1" applyBorder="1" applyAlignment="1">
      <alignment horizontal="center"/>
    </xf>
    <xf numFmtId="0" fontId="11" fillId="4" borderId="914" xfId="0" applyFont="1" applyFill="1" applyBorder="1" applyAlignment="1">
      <alignment horizontal="center"/>
    </xf>
    <xf numFmtId="168" fontId="7" fillId="4" borderId="915" xfId="1" applyNumberFormat="1" applyFont="1" applyFill="1" applyBorder="1" applyAlignment="1">
      <alignment horizontal="center"/>
    </xf>
    <xf numFmtId="0" fontId="11" fillId="5" borderId="914" xfId="0" applyFont="1" applyFill="1" applyBorder="1" applyAlignment="1">
      <alignment horizontal="center"/>
    </xf>
    <xf numFmtId="169" fontId="7" fillId="5" borderId="915" xfId="4" applyNumberFormat="1" applyFont="1" applyFill="1" applyBorder="1" applyAlignment="1">
      <alignment horizontal="center"/>
    </xf>
    <xf numFmtId="0" fontId="12" fillId="0" borderId="914" xfId="0" applyFont="1" applyBorder="1" applyAlignment="1">
      <alignment horizontal="center"/>
    </xf>
    <xf numFmtId="169" fontId="13" fillId="0" borderId="915" xfId="4" applyNumberFormat="1" applyFont="1" applyBorder="1" applyAlignment="1">
      <alignment horizontal="center"/>
    </xf>
    <xf numFmtId="168" fontId="7" fillId="4" borderId="915" xfId="1" applyNumberFormat="1" applyFont="1" applyFill="1" applyBorder="1" applyAlignment="1">
      <alignment horizontal="right"/>
    </xf>
    <xf numFmtId="1" fontId="7" fillId="0" borderId="916" xfId="4" applyNumberFormat="1" applyFont="1" applyBorder="1" applyAlignment="1">
      <alignment horizontal="center"/>
    </xf>
    <xf numFmtId="10" fontId="9" fillId="0" borderId="917" xfId="5" applyFont="1" applyBorder="1" applyAlignment="1">
      <alignment horizontal="center" vertical="center"/>
    </xf>
    <xf numFmtId="0" fontId="11" fillId="0" borderId="918" xfId="0" applyFont="1" applyBorder="1" applyAlignment="1">
      <alignment horizontal="center"/>
    </xf>
    <xf numFmtId="2" fontId="7" fillId="0" borderId="919" xfId="4" applyNumberFormat="1" applyFont="1" applyBorder="1" applyAlignment="1">
      <alignment horizontal="center"/>
    </xf>
    <xf numFmtId="0" fontId="11" fillId="4" borderId="918" xfId="0" applyFont="1" applyFill="1" applyBorder="1" applyAlignment="1">
      <alignment horizontal="center"/>
    </xf>
    <xf numFmtId="168" fontId="7" fillId="4" borderId="919" xfId="1" applyNumberFormat="1" applyFont="1" applyFill="1" applyBorder="1" applyAlignment="1">
      <alignment horizontal="center"/>
    </xf>
    <xf numFmtId="0" fontId="11" fillId="5" borderId="918" xfId="0" applyFont="1" applyFill="1" applyBorder="1" applyAlignment="1">
      <alignment horizontal="center"/>
    </xf>
    <xf numFmtId="169" fontId="7" fillId="5" borderId="919" xfId="4" applyNumberFormat="1" applyFont="1" applyFill="1" applyBorder="1" applyAlignment="1">
      <alignment horizontal="center"/>
    </xf>
    <xf numFmtId="0" fontId="12" fillId="0" borderId="918" xfId="0" applyFont="1" applyBorder="1" applyAlignment="1">
      <alignment horizontal="center"/>
    </xf>
    <xf numFmtId="169" fontId="13" fillId="0" borderId="919" xfId="4" applyNumberFormat="1" applyFont="1" applyBorder="1" applyAlignment="1">
      <alignment horizontal="center"/>
    </xf>
    <xf numFmtId="168" fontId="7" fillId="4" borderId="919" xfId="1" applyNumberFormat="1" applyFont="1" applyFill="1" applyBorder="1" applyAlignment="1">
      <alignment horizontal="right"/>
    </xf>
    <xf numFmtId="1" fontId="7" fillId="0" borderId="920" xfId="4" applyNumberFormat="1" applyFont="1" applyBorder="1" applyAlignment="1">
      <alignment horizontal="center"/>
    </xf>
    <xf numFmtId="10" fontId="9" fillId="0" borderId="921" xfId="5" applyFont="1" applyBorder="1" applyAlignment="1">
      <alignment horizontal="center" vertical="center"/>
    </xf>
    <xf numFmtId="0" fontId="11" fillId="0" borderId="922" xfId="0" applyFont="1" applyBorder="1" applyAlignment="1">
      <alignment horizontal="center"/>
    </xf>
    <xf numFmtId="2" fontId="7" fillId="0" borderId="923" xfId="4" applyNumberFormat="1" applyFont="1" applyBorder="1" applyAlignment="1">
      <alignment horizontal="center"/>
    </xf>
    <xf numFmtId="0" fontId="11" fillId="4" borderId="922" xfId="0" applyFont="1" applyFill="1" applyBorder="1" applyAlignment="1">
      <alignment horizontal="center"/>
    </xf>
    <xf numFmtId="168" fontId="7" fillId="4" borderId="923" xfId="1" applyNumberFormat="1" applyFont="1" applyFill="1" applyBorder="1" applyAlignment="1">
      <alignment horizontal="center"/>
    </xf>
    <xf numFmtId="0" fontId="11" fillId="5" borderId="922" xfId="0" applyFont="1" applyFill="1" applyBorder="1" applyAlignment="1">
      <alignment horizontal="center"/>
    </xf>
    <xf numFmtId="169" fontId="7" fillId="5" borderId="923" xfId="4" applyNumberFormat="1" applyFont="1" applyFill="1" applyBorder="1" applyAlignment="1">
      <alignment horizontal="center"/>
    </xf>
    <xf numFmtId="0" fontId="12" fillId="0" borderId="922" xfId="0" applyFont="1" applyBorder="1" applyAlignment="1">
      <alignment horizontal="center"/>
    </xf>
    <xf numFmtId="169" fontId="13" fillId="0" borderId="923" xfId="4" applyNumberFormat="1" applyFont="1" applyBorder="1" applyAlignment="1">
      <alignment horizontal="center"/>
    </xf>
    <xf numFmtId="168" fontId="7" fillId="4" borderId="923" xfId="1" applyNumberFormat="1" applyFont="1" applyFill="1" applyBorder="1" applyAlignment="1">
      <alignment horizontal="right"/>
    </xf>
    <xf numFmtId="1" fontId="7" fillId="0" borderId="924" xfId="4" applyNumberFormat="1" applyFont="1" applyBorder="1" applyAlignment="1">
      <alignment horizontal="center"/>
    </xf>
    <xf numFmtId="10" fontId="9" fillId="0" borderId="925" xfId="5" applyFont="1" applyBorder="1" applyAlignment="1">
      <alignment horizontal="center" vertical="center"/>
    </xf>
    <xf numFmtId="0" fontId="11" fillId="0" borderId="926" xfId="0" applyFont="1" applyBorder="1" applyAlignment="1">
      <alignment horizontal="center"/>
    </xf>
    <xf numFmtId="2" fontId="7" fillId="0" borderId="927" xfId="4" applyNumberFormat="1" applyFont="1" applyBorder="1" applyAlignment="1">
      <alignment horizontal="center"/>
    </xf>
    <xf numFmtId="0" fontId="11" fillId="4" borderId="926" xfId="0" applyFont="1" applyFill="1" applyBorder="1" applyAlignment="1">
      <alignment horizontal="center"/>
    </xf>
    <xf numFmtId="168" fontId="7" fillId="4" borderId="927" xfId="1" applyNumberFormat="1" applyFont="1" applyFill="1" applyBorder="1" applyAlignment="1">
      <alignment horizontal="center"/>
    </xf>
    <xf numFmtId="0" fontId="11" fillId="5" borderId="926" xfId="0" applyFont="1" applyFill="1" applyBorder="1" applyAlignment="1">
      <alignment horizontal="center"/>
    </xf>
    <xf numFmtId="169" fontId="7" fillId="5" borderId="927" xfId="4" applyNumberFormat="1" applyFont="1" applyFill="1" applyBorder="1" applyAlignment="1">
      <alignment horizontal="center"/>
    </xf>
    <xf numFmtId="0" fontId="12" fillId="0" borderId="926" xfId="0" applyFont="1" applyBorder="1" applyAlignment="1">
      <alignment horizontal="center"/>
    </xf>
    <xf numFmtId="169" fontId="13" fillId="0" borderId="927" xfId="4" applyNumberFormat="1" applyFont="1" applyBorder="1" applyAlignment="1">
      <alignment horizontal="center"/>
    </xf>
    <xf numFmtId="168" fontId="7" fillId="4" borderId="927" xfId="1" applyNumberFormat="1" applyFont="1" applyFill="1" applyBorder="1" applyAlignment="1">
      <alignment horizontal="right"/>
    </xf>
    <xf numFmtId="1" fontId="7" fillId="0" borderId="928" xfId="4" applyNumberFormat="1" applyFont="1" applyBorder="1" applyAlignment="1">
      <alignment horizontal="center"/>
    </xf>
    <xf numFmtId="10" fontId="9" fillId="0" borderId="929" xfId="5" applyFont="1" applyBorder="1" applyAlignment="1">
      <alignment horizontal="center" vertical="center"/>
    </xf>
    <xf numFmtId="0" fontId="11" fillId="0" borderId="930" xfId="0" applyFont="1" applyBorder="1" applyAlignment="1">
      <alignment horizontal="center"/>
    </xf>
    <xf numFmtId="2" fontId="7" fillId="0" borderId="931" xfId="4" applyNumberFormat="1" applyFont="1" applyBorder="1" applyAlignment="1">
      <alignment horizontal="center"/>
    </xf>
    <xf numFmtId="0" fontId="11" fillId="4" borderId="930" xfId="0" applyFont="1" applyFill="1" applyBorder="1" applyAlignment="1">
      <alignment horizontal="center"/>
    </xf>
    <xf numFmtId="168" fontId="7" fillId="4" borderId="931" xfId="1" applyNumberFormat="1" applyFont="1" applyFill="1" applyBorder="1" applyAlignment="1">
      <alignment horizontal="center"/>
    </xf>
    <xf numFmtId="0" fontId="11" fillId="5" borderId="930" xfId="0" applyFont="1" applyFill="1" applyBorder="1" applyAlignment="1">
      <alignment horizontal="center"/>
    </xf>
    <xf numFmtId="169" fontId="7" fillId="5" borderId="931" xfId="4" applyNumberFormat="1" applyFont="1" applyFill="1" applyBorder="1" applyAlignment="1">
      <alignment horizontal="center"/>
    </xf>
    <xf numFmtId="0" fontId="12" fillId="0" borderId="930" xfId="0" applyFont="1" applyBorder="1" applyAlignment="1">
      <alignment horizontal="center"/>
    </xf>
    <xf numFmtId="169" fontId="13" fillId="0" borderId="931" xfId="4" applyNumberFormat="1" applyFont="1" applyBorder="1" applyAlignment="1">
      <alignment horizontal="center"/>
    </xf>
    <xf numFmtId="168" fontId="7" fillId="4" borderId="931" xfId="1" applyNumberFormat="1" applyFont="1" applyFill="1" applyBorder="1" applyAlignment="1">
      <alignment horizontal="right"/>
    </xf>
    <xf numFmtId="1" fontId="7" fillId="0" borderId="932" xfId="4" applyNumberFormat="1" applyFont="1" applyBorder="1" applyAlignment="1">
      <alignment horizontal="center"/>
    </xf>
    <xf numFmtId="10" fontId="9" fillId="0" borderId="933" xfId="5" applyFont="1" applyBorder="1" applyAlignment="1">
      <alignment horizontal="center" vertical="center"/>
    </xf>
    <xf numFmtId="0" fontId="11" fillId="0" borderId="934" xfId="0" applyFont="1" applyBorder="1" applyAlignment="1">
      <alignment horizontal="center"/>
    </xf>
    <xf numFmtId="2" fontId="7" fillId="0" borderId="935" xfId="4" applyNumberFormat="1" applyFont="1" applyBorder="1" applyAlignment="1">
      <alignment horizontal="center"/>
    </xf>
    <xf numFmtId="0" fontId="11" fillId="4" borderId="934" xfId="0" applyFont="1" applyFill="1" applyBorder="1" applyAlignment="1">
      <alignment horizontal="center"/>
    </xf>
    <xf numFmtId="168" fontId="7" fillId="4" borderId="935" xfId="1" applyNumberFormat="1" applyFont="1" applyFill="1" applyBorder="1" applyAlignment="1">
      <alignment horizontal="center"/>
    </xf>
    <xf numFmtId="0" fontId="11" fillId="5" borderId="934" xfId="0" applyFont="1" applyFill="1" applyBorder="1" applyAlignment="1">
      <alignment horizontal="center"/>
    </xf>
    <xf numFmtId="169" fontId="7" fillId="5" borderId="935" xfId="4" applyNumberFormat="1" applyFont="1" applyFill="1" applyBorder="1" applyAlignment="1">
      <alignment horizontal="center"/>
    </xf>
    <xf numFmtId="0" fontId="12" fillId="0" borderId="934" xfId="0" applyFont="1" applyBorder="1" applyAlignment="1">
      <alignment horizontal="center"/>
    </xf>
    <xf numFmtId="169" fontId="13" fillId="0" borderId="935" xfId="4" applyNumberFormat="1" applyFont="1" applyBorder="1" applyAlignment="1">
      <alignment horizontal="center"/>
    </xf>
    <xf numFmtId="168" fontId="7" fillId="4" borderId="935" xfId="1" applyNumberFormat="1" applyFont="1" applyFill="1" applyBorder="1" applyAlignment="1">
      <alignment horizontal="right"/>
    </xf>
    <xf numFmtId="1" fontId="7" fillId="0" borderId="936" xfId="4" applyNumberFormat="1" applyFont="1" applyBorder="1" applyAlignment="1">
      <alignment horizontal="center"/>
    </xf>
    <xf numFmtId="10" fontId="9" fillId="0" borderId="937" xfId="5" applyFont="1" applyBorder="1" applyAlignment="1">
      <alignment horizontal="center" vertical="center"/>
    </xf>
    <xf numFmtId="0" fontId="11" fillId="0" borderId="938" xfId="0" applyFont="1" applyBorder="1" applyAlignment="1">
      <alignment horizontal="center"/>
    </xf>
    <xf numFmtId="2" fontId="7" fillId="0" borderId="939" xfId="4" applyNumberFormat="1" applyFont="1" applyBorder="1" applyAlignment="1">
      <alignment horizontal="center"/>
    </xf>
    <xf numFmtId="0" fontId="11" fillId="4" borderId="938" xfId="0" applyFont="1" applyFill="1" applyBorder="1" applyAlignment="1">
      <alignment horizontal="center"/>
    </xf>
    <xf numFmtId="168" fontId="7" fillId="4" borderId="939" xfId="1" applyNumberFormat="1" applyFont="1" applyFill="1" applyBorder="1" applyAlignment="1">
      <alignment horizontal="center"/>
    </xf>
    <xf numFmtId="0" fontId="11" fillId="5" borderId="938" xfId="0" applyFont="1" applyFill="1" applyBorder="1" applyAlignment="1">
      <alignment horizontal="center"/>
    </xf>
    <xf numFmtId="169" fontId="7" fillId="5" borderId="939" xfId="4" applyNumberFormat="1" applyFont="1" applyFill="1" applyBorder="1" applyAlignment="1">
      <alignment horizontal="center"/>
    </xf>
    <xf numFmtId="0" fontId="12" fillId="0" borderId="938" xfId="0" applyFont="1" applyBorder="1" applyAlignment="1">
      <alignment horizontal="center"/>
    </xf>
    <xf numFmtId="169" fontId="13" fillId="0" borderId="939" xfId="4" applyNumberFormat="1" applyFont="1" applyBorder="1" applyAlignment="1">
      <alignment horizontal="center"/>
    </xf>
    <xf numFmtId="168" fontId="7" fillId="4" borderId="939" xfId="1" applyNumberFormat="1" applyFont="1" applyFill="1" applyBorder="1" applyAlignment="1">
      <alignment horizontal="right"/>
    </xf>
    <xf numFmtId="1" fontId="7" fillId="0" borderId="940" xfId="4" applyNumberFormat="1" applyFont="1" applyBorder="1" applyAlignment="1">
      <alignment horizontal="center"/>
    </xf>
    <xf numFmtId="10" fontId="9" fillId="0" borderId="941" xfId="5" applyFont="1" applyBorder="1" applyAlignment="1">
      <alignment horizontal="center" vertical="center"/>
    </xf>
    <xf numFmtId="1" fontId="7" fillId="8" borderId="10" xfId="4" applyNumberFormat="1" applyFont="1" applyFill="1" applyBorder="1" applyAlignment="1">
      <alignment horizontal="center"/>
    </xf>
    <xf numFmtId="0" fontId="11" fillId="0" borderId="942" xfId="0" applyFont="1" applyBorder="1" applyAlignment="1">
      <alignment horizontal="center"/>
    </xf>
    <xf numFmtId="2" fontId="7" fillId="0" borderId="943" xfId="4" applyNumberFormat="1" applyFont="1" applyBorder="1" applyAlignment="1">
      <alignment horizontal="center"/>
    </xf>
    <xf numFmtId="0" fontId="11" fillId="4" borderId="942" xfId="0" applyFont="1" applyFill="1" applyBorder="1" applyAlignment="1">
      <alignment horizontal="center"/>
    </xf>
    <xf numFmtId="168" fontId="7" fillId="4" borderId="943" xfId="1" applyNumberFormat="1" applyFont="1" applyFill="1" applyBorder="1" applyAlignment="1">
      <alignment horizontal="center"/>
    </xf>
    <xf numFmtId="0" fontId="11" fillId="5" borderId="942" xfId="0" applyFont="1" applyFill="1" applyBorder="1" applyAlignment="1">
      <alignment horizontal="center"/>
    </xf>
    <xf numFmtId="169" fontId="7" fillId="5" borderId="943" xfId="4" applyNumberFormat="1" applyFont="1" applyFill="1" applyBorder="1" applyAlignment="1">
      <alignment horizontal="center"/>
    </xf>
    <xf numFmtId="0" fontId="12" fillId="0" borderId="942" xfId="0" applyFont="1" applyBorder="1" applyAlignment="1">
      <alignment horizontal="center"/>
    </xf>
    <xf numFmtId="169" fontId="13" fillId="0" borderId="943" xfId="4" applyNumberFormat="1" applyFont="1" applyBorder="1" applyAlignment="1">
      <alignment horizontal="center"/>
    </xf>
    <xf numFmtId="168" fontId="7" fillId="4" borderId="943" xfId="1" applyNumberFormat="1" applyFont="1" applyFill="1" applyBorder="1" applyAlignment="1">
      <alignment horizontal="right"/>
    </xf>
    <xf numFmtId="10" fontId="9" fillId="0" borderId="944" xfId="5" applyFont="1" applyBorder="1" applyAlignment="1">
      <alignment horizontal="center" vertical="center"/>
    </xf>
    <xf numFmtId="0" fontId="11" fillId="0" borderId="945" xfId="0" applyFont="1" applyBorder="1" applyAlignment="1">
      <alignment horizontal="center"/>
    </xf>
    <xf numFmtId="2" fontId="7" fillId="0" borderId="946" xfId="4" applyNumberFormat="1" applyFont="1" applyBorder="1" applyAlignment="1">
      <alignment horizontal="center"/>
    </xf>
    <xf numFmtId="0" fontId="11" fillId="4" borderId="945" xfId="0" applyFont="1" applyFill="1" applyBorder="1" applyAlignment="1">
      <alignment horizontal="center"/>
    </xf>
    <xf numFmtId="168" fontId="7" fillId="4" borderId="946" xfId="1" applyNumberFormat="1" applyFont="1" applyFill="1" applyBorder="1" applyAlignment="1">
      <alignment horizontal="center"/>
    </xf>
    <xf numFmtId="0" fontId="11" fillId="5" borderId="945" xfId="0" applyFont="1" applyFill="1" applyBorder="1" applyAlignment="1">
      <alignment horizontal="center"/>
    </xf>
    <xf numFmtId="169" fontId="7" fillId="5" borderId="946" xfId="4" applyNumberFormat="1" applyFont="1" applyFill="1" applyBorder="1" applyAlignment="1">
      <alignment horizontal="center"/>
    </xf>
    <xf numFmtId="0" fontId="12" fillId="0" borderId="945" xfId="0" applyFont="1" applyBorder="1" applyAlignment="1">
      <alignment horizontal="center"/>
    </xf>
    <xf numFmtId="169" fontId="13" fillId="0" borderId="946" xfId="4" applyNumberFormat="1" applyFont="1" applyBorder="1" applyAlignment="1">
      <alignment horizontal="center"/>
    </xf>
    <xf numFmtId="168" fontId="7" fillId="4" borderId="946" xfId="1" applyNumberFormat="1" applyFont="1" applyFill="1" applyBorder="1" applyAlignment="1">
      <alignment horizontal="right"/>
    </xf>
    <xf numFmtId="1" fontId="7" fillId="0" borderId="947" xfId="4" applyNumberFormat="1" applyFont="1" applyBorder="1" applyAlignment="1">
      <alignment horizontal="center"/>
    </xf>
    <xf numFmtId="10" fontId="9" fillId="0" borderId="948" xfId="5" applyFont="1" applyBorder="1" applyAlignment="1">
      <alignment horizontal="center" vertical="center"/>
    </xf>
    <xf numFmtId="0" fontId="11" fillId="0" borderId="949" xfId="0" applyFont="1" applyBorder="1" applyAlignment="1">
      <alignment horizontal="center"/>
    </xf>
    <xf numFmtId="2" fontId="7" fillId="0" borderId="950" xfId="4" applyNumberFormat="1" applyFont="1" applyBorder="1" applyAlignment="1">
      <alignment horizontal="center"/>
    </xf>
    <xf numFmtId="0" fontId="11" fillId="4" borderId="949" xfId="0" applyFont="1" applyFill="1" applyBorder="1" applyAlignment="1">
      <alignment horizontal="center"/>
    </xf>
    <xf numFmtId="168" fontId="7" fillId="4" borderId="950" xfId="1" applyNumberFormat="1" applyFont="1" applyFill="1" applyBorder="1" applyAlignment="1">
      <alignment horizontal="center"/>
    </xf>
    <xf numFmtId="0" fontId="11" fillId="5" borderId="949" xfId="0" applyFont="1" applyFill="1" applyBorder="1" applyAlignment="1">
      <alignment horizontal="center"/>
    </xf>
    <xf numFmtId="169" fontId="7" fillId="5" borderId="950" xfId="4" applyNumberFormat="1" applyFont="1" applyFill="1" applyBorder="1" applyAlignment="1">
      <alignment horizontal="center"/>
    </xf>
    <xf numFmtId="0" fontId="12" fillId="0" borderId="949" xfId="0" applyFont="1" applyBorder="1" applyAlignment="1">
      <alignment horizontal="center"/>
    </xf>
    <xf numFmtId="169" fontId="13" fillId="0" borderId="950" xfId="4" applyNumberFormat="1" applyFont="1" applyBorder="1" applyAlignment="1">
      <alignment horizontal="center"/>
    </xf>
    <xf numFmtId="168" fontId="7" fillId="7" borderId="950" xfId="1" applyNumberFormat="1" applyFont="1" applyFill="1" applyBorder="1" applyAlignment="1">
      <alignment horizontal="right"/>
    </xf>
    <xf numFmtId="168" fontId="7" fillId="4" borderId="950" xfId="1" applyNumberFormat="1" applyFont="1" applyFill="1" applyBorder="1" applyAlignment="1">
      <alignment horizontal="right"/>
    </xf>
    <xf numFmtId="1" fontId="7" fillId="0" borderId="951" xfId="4" applyNumberFormat="1" applyFont="1" applyBorder="1" applyAlignment="1">
      <alignment horizontal="center"/>
    </xf>
    <xf numFmtId="10" fontId="9" fillId="0" borderId="952" xfId="5" applyFont="1" applyBorder="1" applyAlignment="1">
      <alignment horizontal="center" vertical="center"/>
    </xf>
    <xf numFmtId="0" fontId="11" fillId="0" borderId="953" xfId="0" applyFont="1" applyBorder="1" applyAlignment="1">
      <alignment horizontal="center"/>
    </xf>
    <xf numFmtId="2" fontId="7" fillId="0" borderId="954" xfId="4" applyNumberFormat="1" applyFont="1" applyBorder="1" applyAlignment="1">
      <alignment horizontal="center"/>
    </xf>
    <xf numFmtId="0" fontId="11" fillId="4" borderId="953" xfId="0" applyFont="1" applyFill="1" applyBorder="1" applyAlignment="1">
      <alignment horizontal="center"/>
    </xf>
    <xf numFmtId="168" fontId="7" fillId="4" borderId="954" xfId="1" applyNumberFormat="1" applyFont="1" applyFill="1" applyBorder="1" applyAlignment="1">
      <alignment horizontal="center"/>
    </xf>
    <xf numFmtId="0" fontId="11" fillId="5" borderId="953" xfId="0" applyFont="1" applyFill="1" applyBorder="1" applyAlignment="1">
      <alignment horizontal="center"/>
    </xf>
    <xf numFmtId="169" fontId="7" fillId="5" borderId="954" xfId="4" applyNumberFormat="1" applyFont="1" applyFill="1" applyBorder="1" applyAlignment="1">
      <alignment horizontal="center"/>
    </xf>
    <xf numFmtId="0" fontId="12" fillId="0" borderId="953" xfId="0" applyFont="1" applyBorder="1" applyAlignment="1">
      <alignment horizontal="center"/>
    </xf>
    <xf numFmtId="169" fontId="13" fillId="0" borderId="954" xfId="4" applyNumberFormat="1" applyFont="1" applyBorder="1" applyAlignment="1">
      <alignment horizontal="center"/>
    </xf>
    <xf numFmtId="168" fontId="7" fillId="7" borderId="954" xfId="1" applyNumberFormat="1" applyFont="1" applyFill="1" applyBorder="1" applyAlignment="1">
      <alignment horizontal="right"/>
    </xf>
    <xf numFmtId="168" fontId="7" fillId="4" borderId="954" xfId="1" applyNumberFormat="1" applyFont="1" applyFill="1" applyBorder="1" applyAlignment="1">
      <alignment horizontal="right"/>
    </xf>
    <xf numFmtId="1" fontId="7" fillId="0" borderId="955" xfId="4" applyNumberFormat="1" applyFont="1" applyBorder="1" applyAlignment="1">
      <alignment horizontal="center"/>
    </xf>
    <xf numFmtId="10" fontId="9" fillId="0" borderId="956" xfId="5" applyFont="1" applyBorder="1" applyAlignment="1">
      <alignment horizontal="center" vertical="center"/>
    </xf>
    <xf numFmtId="0" fontId="11" fillId="0" borderId="957" xfId="0" applyFont="1" applyBorder="1" applyAlignment="1">
      <alignment horizontal="center"/>
    </xf>
    <xf numFmtId="2" fontId="7" fillId="0" borderId="958" xfId="4" applyNumberFormat="1" applyFont="1" applyBorder="1" applyAlignment="1">
      <alignment horizontal="center"/>
    </xf>
    <xf numFmtId="0" fontId="11" fillId="4" borderId="957" xfId="0" applyFont="1" applyFill="1" applyBorder="1" applyAlignment="1">
      <alignment horizontal="center"/>
    </xf>
    <xf numFmtId="168" fontId="7" fillId="4" borderId="958" xfId="1" applyNumberFormat="1" applyFont="1" applyFill="1" applyBorder="1" applyAlignment="1">
      <alignment horizontal="center"/>
    </xf>
    <xf numFmtId="0" fontId="11" fillId="5" borderId="957" xfId="0" applyFont="1" applyFill="1" applyBorder="1" applyAlignment="1">
      <alignment horizontal="center"/>
    </xf>
    <xf numFmtId="169" fontId="7" fillId="5" borderId="958" xfId="4" applyNumberFormat="1" applyFont="1" applyFill="1" applyBorder="1" applyAlignment="1">
      <alignment horizontal="center"/>
    </xf>
    <xf numFmtId="0" fontId="12" fillId="0" borderId="957" xfId="0" applyFont="1" applyBorder="1" applyAlignment="1">
      <alignment horizontal="center"/>
    </xf>
    <xf numFmtId="169" fontId="13" fillId="0" borderId="958" xfId="4" applyNumberFormat="1" applyFont="1" applyBorder="1" applyAlignment="1">
      <alignment horizontal="center"/>
    </xf>
    <xf numFmtId="168" fontId="7" fillId="7" borderId="958" xfId="1" applyNumberFormat="1" applyFont="1" applyFill="1" applyBorder="1" applyAlignment="1">
      <alignment horizontal="right"/>
    </xf>
    <xf numFmtId="168" fontId="7" fillId="4" borderId="958" xfId="1" applyNumberFormat="1" applyFont="1" applyFill="1" applyBorder="1" applyAlignment="1">
      <alignment horizontal="right"/>
    </xf>
    <xf numFmtId="1" fontId="7" fillId="0" borderId="959" xfId="4" applyNumberFormat="1" applyFont="1" applyBorder="1" applyAlignment="1">
      <alignment horizontal="center"/>
    </xf>
    <xf numFmtId="10" fontId="9" fillId="0" borderId="960" xfId="5" applyFont="1" applyBorder="1" applyAlignment="1">
      <alignment horizontal="center" vertical="center"/>
    </xf>
    <xf numFmtId="0" fontId="11" fillId="0" borderId="961" xfId="0" applyFont="1" applyBorder="1" applyAlignment="1">
      <alignment horizontal="center"/>
    </xf>
    <xf numFmtId="2" fontId="7" fillId="0" borderId="962" xfId="4" applyNumberFormat="1" applyFont="1" applyBorder="1" applyAlignment="1">
      <alignment horizontal="center"/>
    </xf>
    <xf numFmtId="0" fontId="11" fillId="4" borderId="961" xfId="0" applyFont="1" applyFill="1" applyBorder="1" applyAlignment="1">
      <alignment horizontal="center"/>
    </xf>
    <xf numFmtId="168" fontId="7" fillId="4" borderId="962" xfId="1" applyNumberFormat="1" applyFont="1" applyFill="1" applyBorder="1" applyAlignment="1">
      <alignment horizontal="center"/>
    </xf>
    <xf numFmtId="0" fontId="11" fillId="7" borderId="961" xfId="0" applyFont="1" applyFill="1" applyBorder="1" applyAlignment="1">
      <alignment horizontal="center"/>
    </xf>
    <xf numFmtId="0" fontId="11" fillId="5" borderId="961" xfId="0" applyFont="1" applyFill="1" applyBorder="1" applyAlignment="1">
      <alignment horizontal="center"/>
    </xf>
    <xf numFmtId="169" fontId="7" fillId="5" borderId="962" xfId="4" applyNumberFormat="1" applyFont="1" applyFill="1" applyBorder="1" applyAlignment="1">
      <alignment horizontal="center"/>
    </xf>
    <xf numFmtId="0" fontId="12" fillId="0" borderId="961" xfId="0" applyFont="1" applyBorder="1" applyAlignment="1">
      <alignment horizontal="center"/>
    </xf>
    <xf numFmtId="169" fontId="13" fillId="0" borderId="962" xfId="4" applyNumberFormat="1" applyFont="1" applyBorder="1" applyAlignment="1">
      <alignment horizontal="center"/>
    </xf>
    <xf numFmtId="168" fontId="7" fillId="4" borderId="962" xfId="1" applyNumberFormat="1" applyFont="1" applyFill="1" applyBorder="1" applyAlignment="1">
      <alignment horizontal="right"/>
    </xf>
    <xf numFmtId="1" fontId="7" fillId="0" borderId="963" xfId="4" applyNumberFormat="1" applyFont="1" applyBorder="1" applyAlignment="1">
      <alignment horizontal="center"/>
    </xf>
    <xf numFmtId="167" fontId="0" fillId="0" borderId="0" xfId="0" applyNumberFormat="1"/>
  </cellXfs>
  <cellStyles count="6">
    <cellStyle name="Bueno" xfId="3" builtinId="26"/>
    <cellStyle name="Millares" xfId="1" builtinId="3"/>
    <cellStyle name="Normal" xfId="0" builtinId="0"/>
    <cellStyle name="Normal 10" xfId="4" xr:uid="{176164A8-46A4-4967-930E-5018E6F3B1C4}"/>
    <cellStyle name="Porcentaje" xfId="2" builtinId="5"/>
    <cellStyle name="Porcentual 2 3 3" xfId="5" xr:uid="{114D7DDC-BA19-4EBC-8695-62B6AF0BAEE8}"/>
  </cellStyles>
  <dxfs count="19"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ndense val="0"/>
        <extend val="0"/>
        <color indexed="10"/>
      </font>
    </dxf>
    <dxf>
      <font>
        <b/>
        <i val="0"/>
      </font>
    </dxf>
    <dxf>
      <font>
        <color theme="0" tint="-0.34998626667073579"/>
      </font>
    </dxf>
    <dxf>
      <font>
        <b/>
        <i val="0"/>
        <condense val="0"/>
        <extend val="0"/>
        <color indexed="12"/>
      </font>
    </dxf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theme="4"/>
      </font>
    </dxf>
    <dxf>
      <font>
        <b/>
        <i val="0"/>
        <color rgb="FFFF0000"/>
      </font>
    </dxf>
    <dxf>
      <font>
        <b/>
        <i val="0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Masolini" id="{B1DA288F-C8AD-4833-97EC-DE3A9EF0139F}" userId="S-1-5-21-125382750-1652497328-930774774-733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13" dT="2025-05-26T18:51:06.79" personId="{B1DA288F-C8AD-4833-97EC-DE3A9EF0139F}" id="{700329D2-7BDD-47C4-AE1F-3D0D9CA211F1}">
    <text xml:space="preserve">Modificado 26.05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AC90-2B27-4A31-BB52-F0744132186F}">
  <sheetPr>
    <tabColor rgb="FFFF0000"/>
  </sheetPr>
  <dimension ref="A1:CB252"/>
  <sheetViews>
    <sheetView showGridLines="0" tabSelected="1" zoomScale="85" zoomScaleNormal="85" workbookViewId="0">
      <pane xSplit="2" ySplit="7" topLeftCell="C8" activePane="bottomRight" state="frozen"/>
      <selection activeCell="AP7" sqref="AP7"/>
      <selection pane="topRight" activeCell="AP7" sqref="AP7"/>
      <selection pane="bottomLeft" activeCell="AP7" sqref="AP7"/>
      <selection pane="bottomRight" activeCell="C20" sqref="C20"/>
    </sheetView>
  </sheetViews>
  <sheetFormatPr baseColWidth="10" defaultRowHeight="15" outlineLevelCol="1" x14ac:dyDescent="0.25"/>
  <cols>
    <col min="2" max="2" width="43.7109375" customWidth="1"/>
    <col min="3" max="3" width="14.140625" customWidth="1" outlineLevel="1"/>
    <col min="4" max="4" width="17" customWidth="1" outlineLevel="1"/>
    <col min="5" max="5" width="21.42578125" bestFit="1" customWidth="1" outlineLevel="1"/>
    <col min="6" max="7" width="15" customWidth="1" outlineLevel="1"/>
    <col min="8" max="9" width="25.140625" customWidth="1" outlineLevel="1"/>
    <col min="10" max="10" width="9" customWidth="1" outlineLevel="1"/>
    <col min="11" max="11" width="7.85546875" customWidth="1"/>
    <col min="12" max="12" width="12.5703125" customWidth="1" outlineLevel="1"/>
    <col min="13" max="13" width="9.42578125" customWidth="1" outlineLevel="1"/>
    <col min="14" max="14" width="11.85546875" customWidth="1" outlineLevel="1"/>
    <col min="15" max="15" width="13.5703125" customWidth="1" outlineLevel="1"/>
    <col min="16" max="16" width="6.85546875" customWidth="1" outlineLevel="1"/>
    <col min="17" max="17" width="9" customWidth="1" outlineLevel="1"/>
    <col min="18" max="18" width="10" customWidth="1" outlineLevel="1"/>
    <col min="19" max="19" width="11" customWidth="1" outlineLevel="1" collapsed="1"/>
    <col min="20" max="20" width="11" customWidth="1" outlineLevel="1"/>
    <col min="21" max="21" width="14.140625" customWidth="1" outlineLevel="1"/>
    <col min="22" max="22" width="8.85546875" customWidth="1" outlineLevel="1"/>
    <col min="23" max="26" width="11.42578125" customWidth="1" outlineLevel="1"/>
    <col min="27" max="27" width="13.42578125" customWidth="1" outlineLevel="1"/>
    <col min="28" max="29" width="10.85546875" customWidth="1" outlineLevel="1"/>
    <col min="30" max="30" width="11.85546875" customWidth="1" outlineLevel="1"/>
    <col min="31" max="31" width="14.85546875" customWidth="1" outlineLevel="1"/>
    <col min="32" max="32" width="12.140625" customWidth="1" outlineLevel="1"/>
    <col min="33" max="34" width="13.85546875" customWidth="1" outlineLevel="1"/>
    <col min="35" max="35" width="14" customWidth="1" outlineLevel="1"/>
    <col min="36" max="36" width="17.140625" customWidth="1" outlineLevel="1"/>
    <col min="37" max="37" width="12.85546875" customWidth="1" outlineLevel="1"/>
    <col min="38" max="38" width="14.140625" customWidth="1" outlineLevel="1"/>
    <col min="39" max="39" width="15.140625" customWidth="1" outlineLevel="1"/>
    <col min="40" max="40" width="13.5703125" customWidth="1" outlineLevel="1"/>
    <col min="41" max="41" width="10.42578125" customWidth="1" outlineLevel="1"/>
    <col min="42" max="42" width="10.85546875" customWidth="1" outlineLevel="1"/>
    <col min="43" max="43" width="13.140625" customWidth="1" outlineLevel="1"/>
    <col min="44" max="44" width="12.5703125" customWidth="1" outlineLevel="1"/>
    <col min="45" max="45" width="11.140625" customWidth="1" outlineLevel="1"/>
    <col min="46" max="46" width="11.85546875" customWidth="1" outlineLevel="1"/>
    <col min="47" max="47" width="8.140625" customWidth="1" outlineLevel="1"/>
    <col min="48" max="48" width="8.85546875" customWidth="1" outlineLevel="1"/>
    <col min="49" max="50" width="8.140625" customWidth="1" outlineLevel="1"/>
    <col min="51" max="51" width="15.140625" customWidth="1"/>
    <col min="52" max="52" width="12.140625" bestFit="1" customWidth="1" outlineLevel="1"/>
    <col min="53" max="53" width="11.5703125" customWidth="1" outlineLevel="1"/>
    <col min="61" max="61" width="31.140625" bestFit="1" customWidth="1"/>
    <col min="64" max="64" width="17" customWidth="1"/>
    <col min="66" max="66" width="13.140625" bestFit="1" customWidth="1"/>
    <col min="67" max="67" width="11.42578125" style="3"/>
    <col min="68" max="68" width="11.140625" bestFit="1" customWidth="1"/>
    <col min="80" max="80" width="11.140625" bestFit="1" customWidth="1"/>
  </cols>
  <sheetData>
    <row r="1" spans="1:80" s="1" customForma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O1" s="2"/>
      <c r="BZ1" s="1">
        <v>21</v>
      </c>
    </row>
    <row r="2" spans="1:80" x14ac:dyDescent="0.25">
      <c r="BI2">
        <v>38.700000000000003</v>
      </c>
      <c r="BK2" t="s">
        <v>0</v>
      </c>
    </row>
    <row r="3" spans="1:80" ht="23.25" x14ac:dyDescent="0.35">
      <c r="B3" s="4" t="s">
        <v>1</v>
      </c>
      <c r="BK3" t="s">
        <v>2</v>
      </c>
    </row>
    <row r="4" spans="1:80" x14ac:dyDescent="0.25">
      <c r="J4" s="5"/>
      <c r="X4" s="6"/>
      <c r="AB4" s="6"/>
      <c r="BK4" t="s">
        <v>3</v>
      </c>
    </row>
    <row r="5" spans="1:80" ht="15.75" thickBot="1" x14ac:dyDescent="0.3">
      <c r="B5" s="7"/>
      <c r="J5" s="5"/>
      <c r="X5" s="6"/>
      <c r="AB5" s="6"/>
      <c r="BK5" t="s">
        <v>4</v>
      </c>
    </row>
    <row r="6" spans="1:80" ht="16.5" customHeight="1" thickTop="1" thickBot="1" x14ac:dyDescent="0.3">
      <c r="O6" s="8">
        <v>5.6779146149999997</v>
      </c>
      <c r="U6" s="9" t="s">
        <v>5</v>
      </c>
      <c r="V6" s="10"/>
      <c r="W6" s="9" t="s">
        <v>6</v>
      </c>
      <c r="X6" s="10"/>
      <c r="Y6" s="9" t="s">
        <v>7</v>
      </c>
      <c r="Z6" s="10"/>
      <c r="AA6" s="9" t="s">
        <v>8</v>
      </c>
      <c r="AB6" s="10"/>
      <c r="AC6" s="9" t="s">
        <v>9</v>
      </c>
      <c r="AD6" s="10"/>
      <c r="AE6" s="9" t="s">
        <v>10</v>
      </c>
      <c r="AF6" s="10"/>
      <c r="AG6" s="9" t="s">
        <v>11</v>
      </c>
      <c r="AH6" s="10"/>
      <c r="AI6" s="9" t="s">
        <v>12</v>
      </c>
      <c r="AJ6" s="11"/>
      <c r="AK6" s="9" t="s">
        <v>13</v>
      </c>
      <c r="AL6" s="11"/>
      <c r="AM6" s="9" t="s">
        <v>14</v>
      </c>
      <c r="AN6" s="11"/>
      <c r="AO6" s="9" t="s">
        <v>15</v>
      </c>
      <c r="AP6" s="11"/>
      <c r="AQ6" s="9" t="s">
        <v>16</v>
      </c>
      <c r="AR6" s="11"/>
      <c r="AS6" s="9" t="s">
        <v>17</v>
      </c>
      <c r="AT6" s="11"/>
      <c r="AU6" s="9" t="s">
        <v>18</v>
      </c>
      <c r="AV6" s="11"/>
      <c r="AW6" s="9" t="s">
        <v>19</v>
      </c>
      <c r="AX6" s="11"/>
      <c r="AZ6" s="9" t="s">
        <v>20</v>
      </c>
      <c r="BA6" s="11"/>
      <c r="BZ6" t="s">
        <v>5</v>
      </c>
    </row>
    <row r="7" spans="1:80" s="17" customFormat="1" ht="41.45" customHeight="1" thickBot="1" x14ac:dyDescent="0.3">
      <c r="A7" s="12" t="s">
        <v>21</v>
      </c>
      <c r="B7" s="12" t="s">
        <v>22</v>
      </c>
      <c r="C7" s="12" t="s">
        <v>23</v>
      </c>
      <c r="D7" s="12" t="s">
        <v>24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29</v>
      </c>
      <c r="J7" s="12" t="s">
        <v>30</v>
      </c>
      <c r="K7" s="12" t="s">
        <v>31</v>
      </c>
      <c r="L7" s="12" t="s">
        <v>32</v>
      </c>
      <c r="M7" s="12" t="s">
        <v>33</v>
      </c>
      <c r="N7" s="12" t="s">
        <v>34</v>
      </c>
      <c r="O7" s="13" t="s">
        <v>35</v>
      </c>
      <c r="P7" s="12" t="s">
        <v>36</v>
      </c>
      <c r="Q7" s="12" t="s">
        <v>37</v>
      </c>
      <c r="R7" s="14" t="s">
        <v>38</v>
      </c>
      <c r="S7" s="14" t="s">
        <v>39</v>
      </c>
      <c r="T7" s="14" t="s">
        <v>40</v>
      </c>
      <c r="U7" s="15" t="s">
        <v>41</v>
      </c>
      <c r="V7" s="13" t="s">
        <v>42</v>
      </c>
      <c r="W7" s="15" t="s">
        <v>43</v>
      </c>
      <c r="X7" s="13" t="s">
        <v>44</v>
      </c>
      <c r="Y7" s="15" t="s">
        <v>45</v>
      </c>
      <c r="Z7" s="13" t="s">
        <v>46</v>
      </c>
      <c r="AA7" s="15" t="s">
        <v>47</v>
      </c>
      <c r="AB7" s="13" t="s">
        <v>48</v>
      </c>
      <c r="AC7" s="15" t="s">
        <v>49</v>
      </c>
      <c r="AD7" s="13" t="s">
        <v>50</v>
      </c>
      <c r="AE7" s="15" t="s">
        <v>51</v>
      </c>
      <c r="AF7" s="13" t="s">
        <v>52</v>
      </c>
      <c r="AG7" s="15" t="s">
        <v>53</v>
      </c>
      <c r="AH7" s="13" t="s">
        <v>54</v>
      </c>
      <c r="AI7" s="15" t="s">
        <v>55</v>
      </c>
      <c r="AJ7" s="16" t="s">
        <v>56</v>
      </c>
      <c r="AK7" s="15" t="s">
        <v>57</v>
      </c>
      <c r="AL7" s="16" t="s">
        <v>58</v>
      </c>
      <c r="AM7" s="15" t="s">
        <v>59</v>
      </c>
      <c r="AN7" s="16" t="s">
        <v>60</v>
      </c>
      <c r="AO7" s="15" t="s">
        <v>61</v>
      </c>
      <c r="AP7" s="16" t="s">
        <v>62</v>
      </c>
      <c r="AQ7" s="15" t="s">
        <v>63</v>
      </c>
      <c r="AR7" s="16" t="s">
        <v>64</v>
      </c>
      <c r="AS7" s="15" t="s">
        <v>65</v>
      </c>
      <c r="AT7" s="16" t="s">
        <v>66</v>
      </c>
      <c r="AU7" s="15" t="s">
        <v>67</v>
      </c>
      <c r="AV7" s="16" t="s">
        <v>68</v>
      </c>
      <c r="AW7" s="15" t="s">
        <v>69</v>
      </c>
      <c r="AX7" s="16" t="s">
        <v>70</v>
      </c>
      <c r="AY7"/>
      <c r="AZ7" s="15" t="s">
        <v>71</v>
      </c>
      <c r="BA7" s="16" t="s">
        <v>72</v>
      </c>
      <c r="BI7" s="12" t="s">
        <v>73</v>
      </c>
      <c r="BJ7" s="12" t="s">
        <v>74</v>
      </c>
      <c r="BL7" s="12" t="s">
        <v>27</v>
      </c>
      <c r="BO7" s="18"/>
      <c r="BZ7" s="19" t="s">
        <v>41</v>
      </c>
      <c r="CA7" s="19"/>
      <c r="CB7" s="19"/>
    </row>
    <row r="8" spans="1:80" x14ac:dyDescent="0.25">
      <c r="A8" s="20">
        <v>14</v>
      </c>
      <c r="B8" s="21" t="s">
        <v>75</v>
      </c>
      <c r="C8" s="22" t="s">
        <v>76</v>
      </c>
      <c r="D8" s="23" t="s">
        <v>77</v>
      </c>
      <c r="E8" s="23" t="s">
        <v>78</v>
      </c>
      <c r="F8" s="22" t="s">
        <v>79</v>
      </c>
      <c r="G8" s="22" t="s">
        <v>79</v>
      </c>
      <c r="H8" s="23" t="s">
        <v>80</v>
      </c>
      <c r="I8" s="24" t="s">
        <v>80</v>
      </c>
      <c r="J8" s="25">
        <v>8.6956519999999995E-2</v>
      </c>
      <c r="K8" s="26" t="s">
        <v>81</v>
      </c>
      <c r="L8" s="27">
        <v>1</v>
      </c>
      <c r="M8" s="28">
        <v>8</v>
      </c>
      <c r="N8" s="27">
        <f t="shared" ref="N8:N71" si="0">L8*M8</f>
        <v>8</v>
      </c>
      <c r="O8" s="27">
        <f t="shared" ref="O8:O71" si="1">N8/$O$6</f>
        <v>1.4089680001290403</v>
      </c>
      <c r="P8" s="28">
        <v>5</v>
      </c>
      <c r="Q8" s="28">
        <v>21</v>
      </c>
      <c r="R8" s="29">
        <f t="shared" ref="R8:R71" si="2">P8*Q8</f>
        <v>105</v>
      </c>
      <c r="S8" s="30">
        <v>0.2</v>
      </c>
      <c r="T8" s="30">
        <v>0</v>
      </c>
      <c r="U8" s="31">
        <v>933975</v>
      </c>
      <c r="V8" s="32">
        <v>4.1666666666666666E-3</v>
      </c>
      <c r="W8" s="33">
        <v>902332</v>
      </c>
      <c r="X8" s="34">
        <v>0.81208341666666672</v>
      </c>
      <c r="Y8" s="33">
        <v>902338</v>
      </c>
      <c r="Z8" s="34">
        <v>6.9695999999999994E-2</v>
      </c>
      <c r="AA8" s="33">
        <v>901733</v>
      </c>
      <c r="AB8" s="34">
        <v>8</v>
      </c>
      <c r="AC8" s="33">
        <v>939859</v>
      </c>
      <c r="AD8" s="34">
        <v>8</v>
      </c>
      <c r="AE8" s="33">
        <v>939913</v>
      </c>
      <c r="AF8" s="34">
        <v>8</v>
      </c>
      <c r="AG8" s="35"/>
      <c r="AH8" s="36"/>
      <c r="AI8" s="33">
        <v>0</v>
      </c>
      <c r="AJ8" s="34">
        <v>0</v>
      </c>
      <c r="AK8" s="37">
        <v>0</v>
      </c>
      <c r="AL8" s="38">
        <v>0</v>
      </c>
      <c r="AM8" s="33">
        <v>917330</v>
      </c>
      <c r="AN8" s="34">
        <v>2.1999999999999999E-2</v>
      </c>
      <c r="AO8" s="33">
        <v>923266</v>
      </c>
      <c r="AP8" s="34">
        <v>6.6666666666666671E-3</v>
      </c>
      <c r="AQ8" s="33">
        <v>910319</v>
      </c>
      <c r="AR8" s="34">
        <v>3.8095238095238099E-2</v>
      </c>
      <c r="AS8" s="33">
        <f>IF(K8="P",903360,0)</f>
        <v>903360</v>
      </c>
      <c r="AT8" s="34">
        <f>1/R8</f>
        <v>9.5238095238095247E-3</v>
      </c>
      <c r="AU8" s="33">
        <v>0</v>
      </c>
      <c r="AV8" s="34"/>
      <c r="AW8" s="33">
        <v>0</v>
      </c>
      <c r="AX8" s="34"/>
      <c r="AZ8" s="39"/>
      <c r="BA8" s="40"/>
      <c r="BB8" s="41"/>
      <c r="BD8" s="42"/>
      <c r="BI8" s="43"/>
      <c r="BJ8" s="43"/>
      <c r="BL8" s="43"/>
      <c r="BN8" s="44"/>
      <c r="BP8" s="45"/>
      <c r="BQ8" s="46"/>
      <c r="BZ8">
        <v>933975</v>
      </c>
      <c r="CA8">
        <v>933975</v>
      </c>
      <c r="CB8" t="b">
        <f>+BZ8=CA8</f>
        <v>1</v>
      </c>
    </row>
    <row r="9" spans="1:80" ht="15" customHeight="1" x14ac:dyDescent="0.25">
      <c r="A9" s="22">
        <v>105</v>
      </c>
      <c r="B9" s="23" t="s">
        <v>82</v>
      </c>
      <c r="C9" s="22" t="s">
        <v>76</v>
      </c>
      <c r="D9" s="23" t="s">
        <v>77</v>
      </c>
      <c r="E9" s="23" t="s">
        <v>77</v>
      </c>
      <c r="F9" s="22" t="s">
        <v>83</v>
      </c>
      <c r="G9" s="22" t="s">
        <v>83</v>
      </c>
      <c r="H9" s="23" t="s">
        <v>84</v>
      </c>
      <c r="I9" s="24"/>
      <c r="J9" s="47">
        <v>8.6956519999999995E-2</v>
      </c>
      <c r="K9" s="26" t="s">
        <v>81</v>
      </c>
      <c r="L9" s="27">
        <v>0.25</v>
      </c>
      <c r="M9" s="28">
        <v>12</v>
      </c>
      <c r="N9" s="27">
        <f t="shared" si="0"/>
        <v>3</v>
      </c>
      <c r="O9" s="27">
        <f t="shared" si="1"/>
        <v>0.5283630000483901</v>
      </c>
      <c r="P9" s="28">
        <v>8</v>
      </c>
      <c r="Q9" s="28">
        <v>32</v>
      </c>
      <c r="R9" s="29">
        <f t="shared" si="2"/>
        <v>256</v>
      </c>
      <c r="S9" s="30">
        <v>0.2</v>
      </c>
      <c r="T9" s="30">
        <v>0.05</v>
      </c>
      <c r="U9" s="48">
        <v>902026</v>
      </c>
      <c r="V9" s="49">
        <v>1.5625000000000001E-3</v>
      </c>
      <c r="W9" s="50">
        <v>902332</v>
      </c>
      <c r="X9" s="51">
        <v>0.43504468750000003</v>
      </c>
      <c r="Y9" s="50">
        <v>902338</v>
      </c>
      <c r="Z9" s="51">
        <v>2.6136E-2</v>
      </c>
      <c r="AA9" s="50">
        <v>901733</v>
      </c>
      <c r="AB9" s="51">
        <v>12</v>
      </c>
      <c r="AC9" s="50">
        <v>939214</v>
      </c>
      <c r="AD9" s="51">
        <v>12</v>
      </c>
      <c r="AE9" s="50">
        <v>901189</v>
      </c>
      <c r="AF9" s="51">
        <v>12</v>
      </c>
      <c r="AG9" s="52"/>
      <c r="AH9" s="53"/>
      <c r="AI9" s="50">
        <v>0</v>
      </c>
      <c r="AJ9" s="51">
        <v>0</v>
      </c>
      <c r="AK9" s="54">
        <v>0</v>
      </c>
      <c r="AL9" s="55">
        <v>0</v>
      </c>
      <c r="AM9" s="50">
        <v>939510</v>
      </c>
      <c r="AN9" s="56">
        <v>1.43E-2</v>
      </c>
      <c r="AO9" s="50">
        <v>902311</v>
      </c>
      <c r="AP9" s="56">
        <v>2.7777777777777779E-3</v>
      </c>
      <c r="AQ9" s="50">
        <v>933089</v>
      </c>
      <c r="AR9" s="56">
        <v>2.734375E-2</v>
      </c>
      <c r="AS9" s="50">
        <v>903360</v>
      </c>
      <c r="AT9" s="56">
        <v>3.90625E-3</v>
      </c>
      <c r="AU9" s="50">
        <v>0</v>
      </c>
      <c r="AV9" s="56">
        <v>0</v>
      </c>
      <c r="AW9" s="50">
        <v>0</v>
      </c>
      <c r="AX9" s="56">
        <v>0</v>
      </c>
      <c r="AZ9" s="48"/>
      <c r="BA9" s="57"/>
      <c r="BD9" s="42"/>
      <c r="BI9" s="22" t="s">
        <v>85</v>
      </c>
      <c r="BJ9" s="58">
        <v>0</v>
      </c>
      <c r="BL9" s="22" t="s">
        <v>86</v>
      </c>
      <c r="BN9" s="44"/>
      <c r="BP9" s="45"/>
      <c r="BQ9" s="46"/>
      <c r="BZ9">
        <v>902026</v>
      </c>
      <c r="CA9">
        <v>902026</v>
      </c>
      <c r="CB9" t="b">
        <f t="shared" ref="CB9:CB72" si="3">+BZ9=CA9</f>
        <v>1</v>
      </c>
    </row>
    <row r="10" spans="1:80" ht="15" customHeight="1" x14ac:dyDescent="0.25">
      <c r="A10" s="22">
        <v>110</v>
      </c>
      <c r="B10" s="23" t="s">
        <v>87</v>
      </c>
      <c r="C10" s="22" t="s">
        <v>76</v>
      </c>
      <c r="D10" s="23" t="s">
        <v>77</v>
      </c>
      <c r="E10" s="23" t="s">
        <v>77</v>
      </c>
      <c r="F10" s="22" t="s">
        <v>86</v>
      </c>
      <c r="G10" s="22" t="s">
        <v>86</v>
      </c>
      <c r="H10" s="23" t="s">
        <v>88</v>
      </c>
      <c r="I10" s="24" t="s">
        <v>88</v>
      </c>
      <c r="J10" s="59">
        <v>8.6956519999999995E-2</v>
      </c>
      <c r="K10" s="26" t="s">
        <v>81</v>
      </c>
      <c r="L10" s="27">
        <v>0.35</v>
      </c>
      <c r="M10" s="28">
        <v>24</v>
      </c>
      <c r="N10" s="27">
        <f t="shared" si="0"/>
        <v>8.3999999999999986</v>
      </c>
      <c r="O10" s="27">
        <f t="shared" si="1"/>
        <v>1.4794164001354921</v>
      </c>
      <c r="P10" s="28">
        <v>6</v>
      </c>
      <c r="Q10" s="28">
        <v>10</v>
      </c>
      <c r="R10" s="29">
        <f t="shared" si="2"/>
        <v>60</v>
      </c>
      <c r="S10" s="30">
        <v>0.2</v>
      </c>
      <c r="T10" s="30">
        <v>0</v>
      </c>
      <c r="U10" s="60">
        <v>902026</v>
      </c>
      <c r="V10" s="61">
        <v>4.3749999999999995E-3</v>
      </c>
      <c r="W10" s="62">
        <v>902332</v>
      </c>
      <c r="X10" s="63">
        <v>1.218125125</v>
      </c>
      <c r="Y10" s="62">
        <v>902338</v>
      </c>
      <c r="Z10" s="63">
        <v>6.652799999999999E-2</v>
      </c>
      <c r="AA10" s="62">
        <v>933139</v>
      </c>
      <c r="AB10" s="63">
        <v>24</v>
      </c>
      <c r="AC10" s="62">
        <v>938219</v>
      </c>
      <c r="AD10" s="63">
        <v>24</v>
      </c>
      <c r="AE10" s="62">
        <v>0</v>
      </c>
      <c r="AF10" s="63">
        <v>0</v>
      </c>
      <c r="AG10" s="64"/>
      <c r="AH10" s="65"/>
      <c r="AI10" s="62">
        <v>932394</v>
      </c>
      <c r="AJ10" s="63">
        <v>24</v>
      </c>
      <c r="AK10" s="66">
        <v>901734</v>
      </c>
      <c r="AL10" s="67">
        <v>1</v>
      </c>
      <c r="AM10" s="62">
        <v>0</v>
      </c>
      <c r="AN10" s="68">
        <v>0</v>
      </c>
      <c r="AO10" s="62">
        <v>0</v>
      </c>
      <c r="AP10" s="68">
        <v>0</v>
      </c>
      <c r="AQ10" s="62">
        <v>0</v>
      </c>
      <c r="AR10" s="68">
        <v>0</v>
      </c>
      <c r="AS10" s="62">
        <f>IF(K10="P",903360,0)</f>
        <v>903360</v>
      </c>
      <c r="AT10" s="68">
        <f>1/R10</f>
        <v>1.6666666666666666E-2</v>
      </c>
      <c r="AU10" s="62">
        <v>0</v>
      </c>
      <c r="AV10" s="68">
        <v>0</v>
      </c>
      <c r="AW10" s="62">
        <v>0</v>
      </c>
      <c r="AX10" s="68">
        <v>0</v>
      </c>
      <c r="AZ10" s="60"/>
      <c r="BA10" s="69"/>
      <c r="BD10" s="42"/>
      <c r="BH10" t="s">
        <v>89</v>
      </c>
      <c r="BI10" s="22" t="s">
        <v>90</v>
      </c>
      <c r="BJ10" s="58">
        <v>2153.75</v>
      </c>
      <c r="BL10" s="22" t="s">
        <v>91</v>
      </c>
      <c r="BN10" s="44"/>
      <c r="BP10" s="45"/>
      <c r="BQ10" s="46"/>
      <c r="BZ10">
        <v>902026</v>
      </c>
      <c r="CA10">
        <v>902026</v>
      </c>
      <c r="CB10" t="b">
        <f t="shared" si="3"/>
        <v>1</v>
      </c>
    </row>
    <row r="11" spans="1:80" ht="15" customHeight="1" x14ac:dyDescent="0.25">
      <c r="A11" s="22">
        <v>118</v>
      </c>
      <c r="B11" s="23" t="s">
        <v>92</v>
      </c>
      <c r="C11" s="22" t="s">
        <v>76</v>
      </c>
      <c r="D11" s="23" t="s">
        <v>77</v>
      </c>
      <c r="E11" s="23" t="s">
        <v>77</v>
      </c>
      <c r="F11" s="22" t="s">
        <v>91</v>
      </c>
      <c r="G11" s="22" t="s">
        <v>91</v>
      </c>
      <c r="H11" s="23" t="s">
        <v>93</v>
      </c>
      <c r="I11" s="24" t="s">
        <v>93</v>
      </c>
      <c r="J11" s="70">
        <v>8.6956519999999995E-2</v>
      </c>
      <c r="K11" s="26" t="s">
        <v>94</v>
      </c>
      <c r="L11" s="27">
        <v>0.35399999999999998</v>
      </c>
      <c r="M11" s="28">
        <v>6</v>
      </c>
      <c r="N11" s="27">
        <f t="shared" si="0"/>
        <v>2.1239999999999997</v>
      </c>
      <c r="O11" s="27">
        <f t="shared" si="1"/>
        <v>0.37408100403426015</v>
      </c>
      <c r="P11" s="28">
        <v>11</v>
      </c>
      <c r="Q11" s="28">
        <v>45</v>
      </c>
      <c r="R11" s="29">
        <f t="shared" si="2"/>
        <v>495</v>
      </c>
      <c r="S11" s="30">
        <v>0.2</v>
      </c>
      <c r="T11" s="30">
        <v>0.05</v>
      </c>
      <c r="U11" s="71">
        <v>0</v>
      </c>
      <c r="V11" s="72">
        <v>0</v>
      </c>
      <c r="W11" s="73">
        <v>0</v>
      </c>
      <c r="X11" s="74">
        <v>0</v>
      </c>
      <c r="Y11" s="73">
        <v>0</v>
      </c>
      <c r="Z11" s="74">
        <v>0</v>
      </c>
      <c r="AA11" s="73"/>
      <c r="AB11" s="74">
        <v>0</v>
      </c>
      <c r="AC11" s="73">
        <v>0</v>
      </c>
      <c r="AD11" s="74">
        <v>0</v>
      </c>
      <c r="AE11" s="73">
        <v>0</v>
      </c>
      <c r="AF11" s="74">
        <v>0</v>
      </c>
      <c r="AG11" s="75"/>
      <c r="AH11" s="76"/>
      <c r="AI11" s="73">
        <v>0</v>
      </c>
      <c r="AJ11" s="74">
        <v>0</v>
      </c>
      <c r="AK11" s="77">
        <v>0</v>
      </c>
      <c r="AL11" s="78">
        <v>0</v>
      </c>
      <c r="AM11" s="73">
        <v>0</v>
      </c>
      <c r="AN11" s="79">
        <v>0</v>
      </c>
      <c r="AO11" s="73">
        <v>0</v>
      </c>
      <c r="AP11" s="79">
        <v>0</v>
      </c>
      <c r="AQ11" s="73">
        <v>0</v>
      </c>
      <c r="AR11" s="79">
        <v>0</v>
      </c>
      <c r="AS11" s="73">
        <v>0</v>
      </c>
      <c r="AT11" s="79">
        <v>0</v>
      </c>
      <c r="AU11" s="73">
        <v>0</v>
      </c>
      <c r="AV11" s="79">
        <v>0</v>
      </c>
      <c r="AW11" s="73">
        <v>0</v>
      </c>
      <c r="AX11" s="79">
        <v>0</v>
      </c>
      <c r="AZ11" s="71"/>
      <c r="BA11" s="80"/>
      <c r="BD11" s="42"/>
      <c r="BH11" t="s">
        <v>95</v>
      </c>
      <c r="BI11" s="22" t="s">
        <v>96</v>
      </c>
      <c r="BJ11" s="58">
        <v>2000</v>
      </c>
      <c r="BL11" s="22" t="s">
        <v>97</v>
      </c>
      <c r="BN11" s="44"/>
      <c r="BP11" s="45"/>
      <c r="BQ11" s="46"/>
      <c r="BZ11">
        <v>0</v>
      </c>
      <c r="CA11">
        <v>0</v>
      </c>
      <c r="CB11" t="b">
        <f t="shared" si="3"/>
        <v>1</v>
      </c>
    </row>
    <row r="12" spans="1:80" ht="15" customHeight="1" x14ac:dyDescent="0.25">
      <c r="A12" s="22">
        <v>125</v>
      </c>
      <c r="B12" s="23" t="s">
        <v>98</v>
      </c>
      <c r="C12" s="22" t="s">
        <v>76</v>
      </c>
      <c r="D12" s="23" t="s">
        <v>77</v>
      </c>
      <c r="E12" s="23" t="s">
        <v>78</v>
      </c>
      <c r="F12" s="22" t="s">
        <v>97</v>
      </c>
      <c r="G12" s="22" t="s">
        <v>97</v>
      </c>
      <c r="H12" s="23" t="s">
        <v>99</v>
      </c>
      <c r="I12" s="24" t="s">
        <v>99</v>
      </c>
      <c r="J12" s="81">
        <v>8.6956519999999995E-2</v>
      </c>
      <c r="K12" s="26" t="s">
        <v>81</v>
      </c>
      <c r="L12" s="27">
        <v>1</v>
      </c>
      <c r="M12" s="28">
        <v>12</v>
      </c>
      <c r="N12" s="27">
        <f t="shared" si="0"/>
        <v>12</v>
      </c>
      <c r="O12" s="27">
        <f t="shared" si="1"/>
        <v>2.1134520001935604</v>
      </c>
      <c r="P12" s="28">
        <v>4</v>
      </c>
      <c r="Q12" s="28">
        <v>10</v>
      </c>
      <c r="R12" s="29">
        <f t="shared" si="2"/>
        <v>40</v>
      </c>
      <c r="S12" s="30">
        <v>0.2</v>
      </c>
      <c r="T12" s="30">
        <v>0</v>
      </c>
      <c r="U12" s="82">
        <v>933975</v>
      </c>
      <c r="V12" s="83">
        <v>6.2500000000000003E-3</v>
      </c>
      <c r="W12" s="84">
        <v>902332</v>
      </c>
      <c r="X12" s="85">
        <v>1.2181251249999998</v>
      </c>
      <c r="Y12" s="84">
        <v>902338</v>
      </c>
      <c r="Z12" s="85">
        <v>9.5039999999999999E-2</v>
      </c>
      <c r="AA12" s="84">
        <v>933139</v>
      </c>
      <c r="AB12" s="85">
        <v>12</v>
      </c>
      <c r="AC12" s="84">
        <v>934716</v>
      </c>
      <c r="AD12" s="85">
        <v>12</v>
      </c>
      <c r="AE12" s="84">
        <v>0</v>
      </c>
      <c r="AF12" s="85">
        <v>0</v>
      </c>
      <c r="AG12" s="86"/>
      <c r="AH12" s="87"/>
      <c r="AI12" s="84">
        <v>934451</v>
      </c>
      <c r="AJ12" s="85">
        <v>12</v>
      </c>
      <c r="AK12" s="88">
        <v>907557</v>
      </c>
      <c r="AL12" s="89">
        <v>1</v>
      </c>
      <c r="AM12" s="84"/>
      <c r="AN12" s="90">
        <v>0</v>
      </c>
      <c r="AO12" s="84">
        <v>0</v>
      </c>
      <c r="AP12" s="90">
        <v>0</v>
      </c>
      <c r="AQ12" s="84">
        <v>0</v>
      </c>
      <c r="AR12" s="90"/>
      <c r="AS12" s="84">
        <v>903360</v>
      </c>
      <c r="AT12" s="90">
        <v>2.5000000000000001E-2</v>
      </c>
      <c r="AU12" s="84">
        <v>0</v>
      </c>
      <c r="AV12" s="90">
        <v>0</v>
      </c>
      <c r="AW12" s="84">
        <v>0</v>
      </c>
      <c r="AX12" s="90">
        <v>0</v>
      </c>
      <c r="AZ12" s="82"/>
      <c r="BA12" s="91"/>
      <c r="BD12" s="42"/>
      <c r="BH12" t="s">
        <v>100</v>
      </c>
      <c r="BI12" s="22" t="s">
        <v>101</v>
      </c>
      <c r="BJ12" s="58">
        <v>2000</v>
      </c>
      <c r="BL12" s="22" t="s">
        <v>102</v>
      </c>
      <c r="BN12" s="44"/>
      <c r="BP12" s="45"/>
      <c r="BQ12" s="46"/>
      <c r="BZ12">
        <v>933975</v>
      </c>
      <c r="CA12">
        <v>933975</v>
      </c>
      <c r="CB12" t="b">
        <f t="shared" si="3"/>
        <v>1</v>
      </c>
    </row>
    <row r="13" spans="1:80" ht="15" customHeight="1" x14ac:dyDescent="0.25">
      <c r="A13" s="22">
        <v>127</v>
      </c>
      <c r="B13" s="23" t="s">
        <v>103</v>
      </c>
      <c r="C13" s="22" t="s">
        <v>76</v>
      </c>
      <c r="D13" s="23" t="s">
        <v>77</v>
      </c>
      <c r="E13" s="23" t="s">
        <v>77</v>
      </c>
      <c r="F13" s="22" t="s">
        <v>102</v>
      </c>
      <c r="G13" s="22" t="s">
        <v>102</v>
      </c>
      <c r="H13" s="23" t="s">
        <v>104</v>
      </c>
      <c r="I13" s="24" t="s">
        <v>104</v>
      </c>
      <c r="J13" s="92">
        <v>8.6956519999999982E-2</v>
      </c>
      <c r="K13" s="26" t="s">
        <v>81</v>
      </c>
      <c r="L13" s="27">
        <v>0.5</v>
      </c>
      <c r="M13" s="28">
        <v>12</v>
      </c>
      <c r="N13" s="27">
        <f t="shared" si="0"/>
        <v>6</v>
      </c>
      <c r="O13" s="27">
        <f t="shared" si="1"/>
        <v>1.0567260000967802</v>
      </c>
      <c r="P13" s="28">
        <v>6</v>
      </c>
      <c r="Q13" s="28">
        <v>24</v>
      </c>
      <c r="R13" s="29">
        <f t="shared" si="2"/>
        <v>144</v>
      </c>
      <c r="S13" s="30">
        <v>0.2</v>
      </c>
      <c r="T13" s="30">
        <v>0</v>
      </c>
      <c r="U13" s="93">
        <v>902026</v>
      </c>
      <c r="V13" s="94">
        <v>3.1250000000000002E-3</v>
      </c>
      <c r="W13" s="95">
        <v>902332</v>
      </c>
      <c r="X13" s="96">
        <v>0.87008937500000005</v>
      </c>
      <c r="Y13" s="95">
        <v>902338</v>
      </c>
      <c r="Z13" s="96">
        <v>5.2271999999999999E-2</v>
      </c>
      <c r="AA13" s="95">
        <v>901733</v>
      </c>
      <c r="AB13" s="96">
        <v>12</v>
      </c>
      <c r="AC13" s="95">
        <v>910242</v>
      </c>
      <c r="AD13" s="96">
        <v>12</v>
      </c>
      <c r="AE13" s="95">
        <v>901189</v>
      </c>
      <c r="AF13" s="96">
        <v>12</v>
      </c>
      <c r="AG13" s="97"/>
      <c r="AH13" s="98"/>
      <c r="AI13" s="95">
        <v>0</v>
      </c>
      <c r="AJ13" s="96">
        <v>0</v>
      </c>
      <c r="AK13" s="99">
        <v>0</v>
      </c>
      <c r="AL13" s="100">
        <v>0</v>
      </c>
      <c r="AM13" s="95">
        <v>932317</v>
      </c>
      <c r="AN13" s="101">
        <v>1.9900000000000001E-2</v>
      </c>
      <c r="AO13" s="95">
        <v>902311</v>
      </c>
      <c r="AP13" s="101">
        <v>2.7777777777777779E-3</v>
      </c>
      <c r="AQ13" s="95">
        <v>933089</v>
      </c>
      <c r="AR13" s="101">
        <v>3.4722222222222224E-2</v>
      </c>
      <c r="AS13" s="95">
        <f t="shared" ref="AS13:AS20" si="4">IF(K13="P",903360,0)</f>
        <v>903360</v>
      </c>
      <c r="AT13" s="101">
        <f t="shared" ref="AT13:AT20" si="5">1/R13</f>
        <v>6.9444444444444441E-3</v>
      </c>
      <c r="AU13" s="95">
        <v>0</v>
      </c>
      <c r="AV13" s="101">
        <v>0</v>
      </c>
      <c r="AW13" s="95">
        <v>0</v>
      </c>
      <c r="AX13" s="101">
        <v>0</v>
      </c>
      <c r="AZ13" s="93"/>
      <c r="BA13" s="102"/>
      <c r="BD13" s="42"/>
      <c r="BH13" t="s">
        <v>105</v>
      </c>
      <c r="BI13" s="22" t="s">
        <v>106</v>
      </c>
      <c r="BJ13" s="58">
        <v>2000</v>
      </c>
      <c r="BL13" s="22" t="s">
        <v>107</v>
      </c>
      <c r="BN13" s="44"/>
      <c r="BP13" s="45"/>
      <c r="BQ13" s="46"/>
      <c r="BZ13">
        <v>902026</v>
      </c>
      <c r="CA13">
        <v>902026</v>
      </c>
      <c r="CB13" t="b">
        <f t="shared" si="3"/>
        <v>1</v>
      </c>
    </row>
    <row r="14" spans="1:80" ht="15" customHeight="1" x14ac:dyDescent="0.25">
      <c r="A14" s="22">
        <v>135</v>
      </c>
      <c r="B14" s="23" t="s">
        <v>108</v>
      </c>
      <c r="C14" s="22" t="s">
        <v>76</v>
      </c>
      <c r="D14" s="23" t="s">
        <v>77</v>
      </c>
      <c r="E14" s="23" t="s">
        <v>78</v>
      </c>
      <c r="F14" s="22" t="s">
        <v>109</v>
      </c>
      <c r="G14" s="22" t="s">
        <v>109</v>
      </c>
      <c r="H14" s="23" t="s">
        <v>110</v>
      </c>
      <c r="I14" s="24"/>
      <c r="J14" s="103">
        <v>8.6956519999999995E-2</v>
      </c>
      <c r="K14" s="26" t="s">
        <v>81</v>
      </c>
      <c r="L14" s="27">
        <v>2</v>
      </c>
      <c r="M14" s="28">
        <v>9</v>
      </c>
      <c r="N14" s="27">
        <f t="shared" si="0"/>
        <v>18</v>
      </c>
      <c r="O14" s="27">
        <f t="shared" si="1"/>
        <v>3.170178000290341</v>
      </c>
      <c r="P14" s="28">
        <v>4</v>
      </c>
      <c r="Q14" s="28">
        <v>10</v>
      </c>
      <c r="R14" s="29">
        <f t="shared" si="2"/>
        <v>40</v>
      </c>
      <c r="S14" s="30">
        <v>0.2</v>
      </c>
      <c r="T14" s="30">
        <v>0</v>
      </c>
      <c r="U14" s="104">
        <v>933975</v>
      </c>
      <c r="V14" s="105">
        <v>9.3749999999999997E-3</v>
      </c>
      <c r="W14" s="106">
        <v>902332</v>
      </c>
      <c r="X14" s="107">
        <v>1.8271876875000002</v>
      </c>
      <c r="Y14" s="106">
        <v>902338</v>
      </c>
      <c r="Z14" s="107">
        <v>0.15681599999999998</v>
      </c>
      <c r="AA14" s="106">
        <v>939557</v>
      </c>
      <c r="AB14" s="107">
        <v>9</v>
      </c>
      <c r="AC14" s="106">
        <v>939633</v>
      </c>
      <c r="AD14" s="107">
        <v>9</v>
      </c>
      <c r="AE14" s="106">
        <v>0</v>
      </c>
      <c r="AF14" s="107"/>
      <c r="AG14" s="108"/>
      <c r="AH14" s="109"/>
      <c r="AI14" s="106">
        <v>939353</v>
      </c>
      <c r="AJ14" s="107">
        <v>9</v>
      </c>
      <c r="AK14" s="110">
        <v>939352</v>
      </c>
      <c r="AL14" s="111">
        <v>1</v>
      </c>
      <c r="AM14" s="106">
        <v>0</v>
      </c>
      <c r="AN14" s="112">
        <v>0</v>
      </c>
      <c r="AO14" s="106">
        <v>0</v>
      </c>
      <c r="AP14" s="112">
        <v>0</v>
      </c>
      <c r="AQ14" s="106">
        <v>0</v>
      </c>
      <c r="AR14" s="112">
        <v>0</v>
      </c>
      <c r="AS14" s="106">
        <f t="shared" si="4"/>
        <v>903360</v>
      </c>
      <c r="AT14" s="112">
        <f t="shared" si="5"/>
        <v>2.5000000000000001E-2</v>
      </c>
      <c r="AU14" s="106">
        <v>0</v>
      </c>
      <c r="AV14" s="112">
        <v>0</v>
      </c>
      <c r="AW14" s="106">
        <v>0</v>
      </c>
      <c r="AX14" s="112">
        <v>0</v>
      </c>
      <c r="AZ14" s="104"/>
      <c r="BA14" s="113"/>
      <c r="BD14" s="42"/>
      <c r="BH14" t="s">
        <v>111</v>
      </c>
      <c r="BI14" s="22" t="s">
        <v>112</v>
      </c>
      <c r="BJ14" s="58">
        <v>2153.8000000000002</v>
      </c>
      <c r="BL14" s="22" t="s">
        <v>113</v>
      </c>
      <c r="BN14" s="44"/>
      <c r="BP14" s="45"/>
      <c r="BQ14" s="46"/>
      <c r="BZ14">
        <v>933975</v>
      </c>
      <c r="CA14">
        <v>933975</v>
      </c>
      <c r="CB14" t="b">
        <f t="shared" si="3"/>
        <v>1</v>
      </c>
    </row>
    <row r="15" spans="1:80" ht="15" customHeight="1" x14ac:dyDescent="0.25">
      <c r="A15" s="22">
        <v>140</v>
      </c>
      <c r="B15" s="23" t="s">
        <v>114</v>
      </c>
      <c r="C15" s="22" t="s">
        <v>76</v>
      </c>
      <c r="D15" s="23" t="s">
        <v>77</v>
      </c>
      <c r="E15" s="23" t="s">
        <v>78</v>
      </c>
      <c r="F15" s="22" t="s">
        <v>107</v>
      </c>
      <c r="G15" s="22" t="s">
        <v>107</v>
      </c>
      <c r="H15" s="23" t="s">
        <v>115</v>
      </c>
      <c r="I15" s="24" t="s">
        <v>115</v>
      </c>
      <c r="J15" s="114">
        <v>8.6956519999999995E-2</v>
      </c>
      <c r="K15" s="26" t="s">
        <v>81</v>
      </c>
      <c r="L15" s="27">
        <v>1.5</v>
      </c>
      <c r="M15" s="28">
        <v>8</v>
      </c>
      <c r="N15" s="27">
        <f t="shared" si="0"/>
        <v>12</v>
      </c>
      <c r="O15" s="27">
        <f t="shared" si="1"/>
        <v>2.1134520001935604</v>
      </c>
      <c r="P15" s="28">
        <v>4</v>
      </c>
      <c r="Q15" s="28">
        <v>21</v>
      </c>
      <c r="R15" s="29">
        <f t="shared" si="2"/>
        <v>84</v>
      </c>
      <c r="S15" s="30">
        <v>0.2</v>
      </c>
      <c r="T15" s="30">
        <v>0</v>
      </c>
      <c r="U15" s="115">
        <v>933975</v>
      </c>
      <c r="V15" s="116">
        <v>6.2500000000000003E-3</v>
      </c>
      <c r="W15" s="117">
        <v>902332</v>
      </c>
      <c r="X15" s="118">
        <v>1.218125125</v>
      </c>
      <c r="Y15" s="117">
        <v>902338</v>
      </c>
      <c r="Z15" s="118">
        <v>0.104544</v>
      </c>
      <c r="AA15" s="117">
        <v>901733</v>
      </c>
      <c r="AB15" s="118">
        <v>8</v>
      </c>
      <c r="AC15" s="117">
        <v>924134</v>
      </c>
      <c r="AD15" s="118">
        <v>8</v>
      </c>
      <c r="AE15" s="117">
        <v>913486</v>
      </c>
      <c r="AF15" s="118">
        <v>8</v>
      </c>
      <c r="AG15" s="119"/>
      <c r="AH15" s="120"/>
      <c r="AI15" s="117">
        <v>0</v>
      </c>
      <c r="AJ15" s="118">
        <v>0</v>
      </c>
      <c r="AK15" s="121">
        <v>0</v>
      </c>
      <c r="AL15" s="122">
        <v>0</v>
      </c>
      <c r="AM15" s="117">
        <v>902310</v>
      </c>
      <c r="AN15" s="123">
        <v>3.1199999999999999E-2</v>
      </c>
      <c r="AO15" s="117">
        <v>902311</v>
      </c>
      <c r="AP15" s="123">
        <v>5.0000000000000001E-3</v>
      </c>
      <c r="AQ15" s="117">
        <v>910319</v>
      </c>
      <c r="AR15" s="123">
        <v>3.5714285714285712E-2</v>
      </c>
      <c r="AS15" s="117">
        <f t="shared" si="4"/>
        <v>903360</v>
      </c>
      <c r="AT15" s="123">
        <f t="shared" si="5"/>
        <v>1.1904761904761904E-2</v>
      </c>
      <c r="AU15" s="117">
        <v>0</v>
      </c>
      <c r="AV15" s="123">
        <v>0</v>
      </c>
      <c r="AW15" s="117">
        <v>0</v>
      </c>
      <c r="AX15" s="123">
        <v>0</v>
      </c>
      <c r="AZ15" s="115"/>
      <c r="BA15" s="124"/>
      <c r="BD15" s="42"/>
      <c r="BH15" t="s">
        <v>116</v>
      </c>
      <c r="BI15" s="22" t="s">
        <v>117</v>
      </c>
      <c r="BJ15" s="58">
        <v>2097.5</v>
      </c>
      <c r="BL15" s="22" t="s">
        <v>118</v>
      </c>
      <c r="BN15" s="44"/>
      <c r="BP15" s="45"/>
      <c r="BQ15" s="46"/>
      <c r="BZ15">
        <v>933975</v>
      </c>
      <c r="CA15">
        <v>933975</v>
      </c>
      <c r="CB15" t="b">
        <f t="shared" si="3"/>
        <v>1</v>
      </c>
    </row>
    <row r="16" spans="1:80" ht="15" customHeight="1" x14ac:dyDescent="0.25">
      <c r="A16" s="22">
        <v>144</v>
      </c>
      <c r="B16" s="23" t="s">
        <v>119</v>
      </c>
      <c r="C16" s="22" t="s">
        <v>76</v>
      </c>
      <c r="D16" s="23" t="s">
        <v>77</v>
      </c>
      <c r="E16" s="23" t="s">
        <v>78</v>
      </c>
      <c r="F16" s="22" t="s">
        <v>113</v>
      </c>
      <c r="G16" s="22" t="s">
        <v>113</v>
      </c>
      <c r="H16" s="23" t="s">
        <v>120</v>
      </c>
      <c r="I16" s="24" t="s">
        <v>120</v>
      </c>
      <c r="J16" s="125">
        <v>8.6956519999999995E-2</v>
      </c>
      <c r="K16" s="26" t="s">
        <v>81</v>
      </c>
      <c r="L16" s="27">
        <v>1.75</v>
      </c>
      <c r="M16" s="28">
        <v>8</v>
      </c>
      <c r="N16" s="27">
        <f t="shared" si="0"/>
        <v>14</v>
      </c>
      <c r="O16" s="27">
        <f t="shared" si="1"/>
        <v>2.4656940002258207</v>
      </c>
      <c r="P16" s="28">
        <v>5</v>
      </c>
      <c r="Q16" s="28">
        <v>15</v>
      </c>
      <c r="R16" s="29">
        <f t="shared" si="2"/>
        <v>75</v>
      </c>
      <c r="S16" s="30">
        <v>0.2</v>
      </c>
      <c r="T16" s="30">
        <v>0</v>
      </c>
      <c r="U16" s="126">
        <v>933975</v>
      </c>
      <c r="V16" s="127">
        <v>7.2916666666666668E-3</v>
      </c>
      <c r="W16" s="128">
        <v>902332</v>
      </c>
      <c r="X16" s="129">
        <v>1.4211459791666667</v>
      </c>
      <c r="Y16" s="128">
        <v>902338</v>
      </c>
      <c r="Z16" s="129">
        <v>0.12196799999999999</v>
      </c>
      <c r="AA16" s="128">
        <v>901733</v>
      </c>
      <c r="AB16" s="129">
        <v>8</v>
      </c>
      <c r="AC16" s="128">
        <v>930636</v>
      </c>
      <c r="AD16" s="129">
        <v>8</v>
      </c>
      <c r="AE16" s="128">
        <v>911881</v>
      </c>
      <c r="AF16" s="129">
        <v>8</v>
      </c>
      <c r="AG16" s="130"/>
      <c r="AH16" s="131"/>
      <c r="AI16" s="128">
        <v>0</v>
      </c>
      <c r="AJ16" s="129">
        <v>0</v>
      </c>
      <c r="AK16" s="132">
        <v>0</v>
      </c>
      <c r="AL16" s="133">
        <v>0</v>
      </c>
      <c r="AM16" s="128">
        <v>902310</v>
      </c>
      <c r="AN16" s="134">
        <v>3.3099999999999997E-2</v>
      </c>
      <c r="AO16" s="128">
        <v>923266</v>
      </c>
      <c r="AP16" s="134">
        <v>5.0000000000000001E-3</v>
      </c>
      <c r="AQ16" s="128">
        <v>910319</v>
      </c>
      <c r="AR16" s="134">
        <v>5.3333333333333337E-2</v>
      </c>
      <c r="AS16" s="128">
        <f t="shared" si="4"/>
        <v>903360</v>
      </c>
      <c r="AT16" s="134">
        <f t="shared" si="5"/>
        <v>1.3333333333333334E-2</v>
      </c>
      <c r="AU16" s="128">
        <v>0</v>
      </c>
      <c r="AV16" s="134">
        <v>0</v>
      </c>
      <c r="AW16" s="128">
        <v>0</v>
      </c>
      <c r="AX16" s="134">
        <v>0</v>
      </c>
      <c r="AZ16" s="126"/>
      <c r="BA16" s="135"/>
      <c r="BD16" s="42"/>
      <c r="BH16" t="s">
        <v>121</v>
      </c>
      <c r="BI16" s="22" t="s">
        <v>122</v>
      </c>
      <c r="BJ16" s="58">
        <v>2032.2</v>
      </c>
      <c r="BL16" s="22" t="s">
        <v>123</v>
      </c>
      <c r="BN16" s="44"/>
      <c r="BP16" s="45"/>
      <c r="BQ16" s="46"/>
      <c r="BZ16">
        <v>933975</v>
      </c>
      <c r="CA16">
        <v>933975</v>
      </c>
      <c r="CB16" t="b">
        <f t="shared" si="3"/>
        <v>1</v>
      </c>
    </row>
    <row r="17" spans="1:80" ht="15" customHeight="1" x14ac:dyDescent="0.25">
      <c r="A17" s="22">
        <v>159</v>
      </c>
      <c r="B17" s="23" t="s">
        <v>124</v>
      </c>
      <c r="C17" s="22" t="s">
        <v>76</v>
      </c>
      <c r="D17" s="23" t="s">
        <v>77</v>
      </c>
      <c r="E17" s="23" t="s">
        <v>78</v>
      </c>
      <c r="F17" s="22" t="s">
        <v>118</v>
      </c>
      <c r="G17" s="22" t="s">
        <v>118</v>
      </c>
      <c r="H17" s="23" t="s">
        <v>125</v>
      </c>
      <c r="I17" s="24" t="s">
        <v>125</v>
      </c>
      <c r="J17" s="136">
        <v>8.6956519999999995E-2</v>
      </c>
      <c r="K17" s="26" t="s">
        <v>81</v>
      </c>
      <c r="L17" s="27">
        <v>2.25</v>
      </c>
      <c r="M17" s="28">
        <v>6</v>
      </c>
      <c r="N17" s="27">
        <f t="shared" si="0"/>
        <v>13.5</v>
      </c>
      <c r="O17" s="27">
        <f t="shared" si="1"/>
        <v>2.3776335002177555</v>
      </c>
      <c r="P17" s="28">
        <v>4</v>
      </c>
      <c r="Q17" s="28">
        <v>20</v>
      </c>
      <c r="R17" s="29">
        <f t="shared" si="2"/>
        <v>80</v>
      </c>
      <c r="S17" s="30">
        <v>0.2</v>
      </c>
      <c r="T17" s="30">
        <v>0</v>
      </c>
      <c r="U17" s="137">
        <v>933975</v>
      </c>
      <c r="V17" s="138">
        <v>7.0312499999999993E-3</v>
      </c>
      <c r="W17" s="139">
        <v>902332</v>
      </c>
      <c r="X17" s="140">
        <v>1.3703907656250001</v>
      </c>
      <c r="Y17" s="139">
        <v>902338</v>
      </c>
      <c r="Z17" s="140">
        <v>0.11761199999999999</v>
      </c>
      <c r="AA17" s="139">
        <v>901733</v>
      </c>
      <c r="AB17" s="140">
        <v>6</v>
      </c>
      <c r="AC17" s="139">
        <v>906101</v>
      </c>
      <c r="AD17" s="140">
        <v>6</v>
      </c>
      <c r="AE17" s="139">
        <v>911881</v>
      </c>
      <c r="AF17" s="140">
        <v>6</v>
      </c>
      <c r="AG17" s="141"/>
      <c r="AH17" s="142"/>
      <c r="AI17" s="139">
        <v>0</v>
      </c>
      <c r="AJ17" s="140">
        <v>0</v>
      </c>
      <c r="AK17" s="143">
        <v>0</v>
      </c>
      <c r="AL17" s="144">
        <v>0</v>
      </c>
      <c r="AM17" s="139">
        <v>932442</v>
      </c>
      <c r="AN17" s="145">
        <v>2.7699999999999999E-2</v>
      </c>
      <c r="AO17" s="139">
        <v>902311</v>
      </c>
      <c r="AP17" s="145">
        <v>4.3750000000000004E-3</v>
      </c>
      <c r="AQ17" s="139">
        <v>933089</v>
      </c>
      <c r="AR17" s="145">
        <v>3.7499999999999999E-2</v>
      </c>
      <c r="AS17" s="139">
        <f t="shared" si="4"/>
        <v>903360</v>
      </c>
      <c r="AT17" s="145">
        <f t="shared" si="5"/>
        <v>1.2500000000000001E-2</v>
      </c>
      <c r="AU17" s="139">
        <v>0</v>
      </c>
      <c r="AV17" s="145">
        <v>0</v>
      </c>
      <c r="AW17" s="139">
        <v>0</v>
      </c>
      <c r="AX17" s="145">
        <v>0</v>
      </c>
      <c r="AZ17" s="137"/>
      <c r="BA17" s="146"/>
      <c r="BD17" s="42"/>
      <c r="BH17" t="s">
        <v>126</v>
      </c>
      <c r="BI17" s="22" t="s">
        <v>127</v>
      </c>
      <c r="BJ17" s="58">
        <v>2965.1</v>
      </c>
      <c r="BL17" s="22" t="s">
        <v>128</v>
      </c>
      <c r="BN17" s="44"/>
      <c r="BP17" s="45"/>
      <c r="BQ17" s="46"/>
      <c r="BZ17">
        <v>933975</v>
      </c>
      <c r="CA17">
        <v>933975</v>
      </c>
      <c r="CB17" t="b">
        <f t="shared" si="3"/>
        <v>1</v>
      </c>
    </row>
    <row r="18" spans="1:80" ht="15" customHeight="1" x14ac:dyDescent="0.25">
      <c r="A18" s="22">
        <v>161</v>
      </c>
      <c r="B18" s="23" t="s">
        <v>129</v>
      </c>
      <c r="C18" s="22" t="s">
        <v>76</v>
      </c>
      <c r="D18" s="23" t="s">
        <v>77</v>
      </c>
      <c r="E18" s="23" t="s">
        <v>78</v>
      </c>
      <c r="F18" s="22" t="s">
        <v>123</v>
      </c>
      <c r="G18" s="22" t="s">
        <v>123</v>
      </c>
      <c r="H18" s="23" t="s">
        <v>130</v>
      </c>
      <c r="I18" s="24" t="s">
        <v>130</v>
      </c>
      <c r="J18" s="147">
        <v>8.6956519999999995E-2</v>
      </c>
      <c r="K18" s="26" t="s">
        <v>81</v>
      </c>
      <c r="L18" s="27">
        <v>3</v>
      </c>
      <c r="M18" s="28">
        <v>6</v>
      </c>
      <c r="N18" s="27">
        <f t="shared" si="0"/>
        <v>18</v>
      </c>
      <c r="O18" s="27">
        <f t="shared" si="1"/>
        <v>3.170178000290341</v>
      </c>
      <c r="P18" s="28">
        <v>4</v>
      </c>
      <c r="Q18" s="28">
        <v>15</v>
      </c>
      <c r="R18" s="29">
        <f t="shared" si="2"/>
        <v>60</v>
      </c>
      <c r="S18" s="30">
        <v>0.2</v>
      </c>
      <c r="T18" s="30">
        <v>0</v>
      </c>
      <c r="U18" s="148">
        <v>933975</v>
      </c>
      <c r="V18" s="149">
        <v>9.3750000000000014E-3</v>
      </c>
      <c r="W18" s="150">
        <v>902332</v>
      </c>
      <c r="X18" s="151">
        <v>1.8271876874999999</v>
      </c>
      <c r="Y18" s="150">
        <v>902338</v>
      </c>
      <c r="Z18" s="151">
        <v>0.15681600000000001</v>
      </c>
      <c r="AA18" s="150">
        <v>901733</v>
      </c>
      <c r="AB18" s="151">
        <v>6</v>
      </c>
      <c r="AC18" s="150">
        <v>919914</v>
      </c>
      <c r="AD18" s="151">
        <v>6</v>
      </c>
      <c r="AE18" s="150">
        <v>913487</v>
      </c>
      <c r="AF18" s="151">
        <v>6</v>
      </c>
      <c r="AG18" s="152"/>
      <c r="AH18" s="153"/>
      <c r="AI18" s="150">
        <v>0</v>
      </c>
      <c r="AJ18" s="151">
        <v>0</v>
      </c>
      <c r="AK18" s="154">
        <v>0</v>
      </c>
      <c r="AL18" s="155">
        <v>0</v>
      </c>
      <c r="AM18" s="150">
        <v>902310</v>
      </c>
      <c r="AN18" s="156">
        <v>3.6200000000000003E-2</v>
      </c>
      <c r="AO18" s="150">
        <v>923266</v>
      </c>
      <c r="AP18" s="156">
        <v>8.1665999999999996E-3</v>
      </c>
      <c r="AQ18" s="150">
        <v>910319</v>
      </c>
      <c r="AR18" s="156">
        <v>0.05</v>
      </c>
      <c r="AS18" s="150">
        <f t="shared" si="4"/>
        <v>903360</v>
      </c>
      <c r="AT18" s="156">
        <f t="shared" si="5"/>
        <v>1.6666666666666666E-2</v>
      </c>
      <c r="AU18" s="150">
        <v>0</v>
      </c>
      <c r="AV18" s="156">
        <v>0</v>
      </c>
      <c r="AW18" s="150">
        <v>0</v>
      </c>
      <c r="AX18" s="156">
        <v>0</v>
      </c>
      <c r="AZ18" s="148"/>
      <c r="BA18" s="157"/>
      <c r="BD18" s="42"/>
      <c r="BI18" s="22" t="s">
        <v>131</v>
      </c>
      <c r="BJ18" s="58"/>
      <c r="BL18" s="22" t="s">
        <v>86</v>
      </c>
      <c r="BN18" s="44"/>
      <c r="BP18" s="45"/>
      <c r="BQ18" s="46"/>
      <c r="BZ18">
        <v>933975</v>
      </c>
      <c r="CA18">
        <v>933975</v>
      </c>
      <c r="CB18" t="b">
        <f t="shared" si="3"/>
        <v>1</v>
      </c>
    </row>
    <row r="19" spans="1:80" ht="15" customHeight="1" x14ac:dyDescent="0.25">
      <c r="A19" s="22">
        <v>180</v>
      </c>
      <c r="B19" s="23" t="s">
        <v>132</v>
      </c>
      <c r="C19" s="22" t="s">
        <v>76</v>
      </c>
      <c r="D19" s="23" t="s">
        <v>77</v>
      </c>
      <c r="E19" s="23" t="s">
        <v>77</v>
      </c>
      <c r="F19" s="22" t="s">
        <v>133</v>
      </c>
      <c r="G19" s="22" t="s">
        <v>133</v>
      </c>
      <c r="H19" s="23" t="s">
        <v>134</v>
      </c>
      <c r="I19" s="24" t="s">
        <v>135</v>
      </c>
      <c r="J19" s="158">
        <v>8.6956519999999995E-2</v>
      </c>
      <c r="K19" s="26" t="s">
        <v>81</v>
      </c>
      <c r="L19" s="27">
        <v>64</v>
      </c>
      <c r="M19" s="28">
        <v>1</v>
      </c>
      <c r="N19" s="27">
        <f t="shared" si="0"/>
        <v>64</v>
      </c>
      <c r="O19" s="27">
        <f t="shared" si="1"/>
        <v>11.271744001032323</v>
      </c>
      <c r="P19" s="28">
        <v>4</v>
      </c>
      <c r="Q19" s="28">
        <v>15</v>
      </c>
      <c r="R19" s="29">
        <f t="shared" si="2"/>
        <v>60</v>
      </c>
      <c r="S19" s="30">
        <v>0.2</v>
      </c>
      <c r="T19" s="30">
        <v>0</v>
      </c>
      <c r="U19" s="159">
        <v>902026</v>
      </c>
      <c r="V19" s="160">
        <v>3.3333333333333333E-2</v>
      </c>
      <c r="W19" s="161">
        <v>902332</v>
      </c>
      <c r="X19" s="162">
        <v>9.2809533333333345</v>
      </c>
      <c r="Y19" s="161">
        <v>0</v>
      </c>
      <c r="Z19" s="162">
        <v>0</v>
      </c>
      <c r="AA19" s="161"/>
      <c r="AB19" s="162">
        <v>0</v>
      </c>
      <c r="AC19" s="161">
        <v>931923</v>
      </c>
      <c r="AD19" s="162">
        <v>1</v>
      </c>
      <c r="AE19" s="161">
        <v>0</v>
      </c>
      <c r="AF19" s="162">
        <v>0</v>
      </c>
      <c r="AG19" s="163"/>
      <c r="AH19" s="164"/>
      <c r="AI19" s="161">
        <v>0</v>
      </c>
      <c r="AJ19" s="162">
        <v>0</v>
      </c>
      <c r="AK19" s="165">
        <v>0</v>
      </c>
      <c r="AL19" s="166">
        <v>0</v>
      </c>
      <c r="AM19" s="161">
        <v>0</v>
      </c>
      <c r="AN19" s="167">
        <v>0</v>
      </c>
      <c r="AO19" s="161">
        <v>902311</v>
      </c>
      <c r="AP19" s="167">
        <v>1.6666000000000001E-3</v>
      </c>
      <c r="AQ19" s="161">
        <v>0</v>
      </c>
      <c r="AR19" s="167">
        <v>0</v>
      </c>
      <c r="AS19" s="161">
        <f t="shared" si="4"/>
        <v>903360</v>
      </c>
      <c r="AT19" s="167">
        <f t="shared" si="5"/>
        <v>1.6666666666666666E-2</v>
      </c>
      <c r="AU19" s="161">
        <v>931919</v>
      </c>
      <c r="AV19" s="167">
        <v>1</v>
      </c>
      <c r="AW19" s="161">
        <v>931922</v>
      </c>
      <c r="AX19" s="167">
        <v>1</v>
      </c>
      <c r="AZ19" s="159"/>
      <c r="BA19" s="168"/>
      <c r="BD19" s="42"/>
      <c r="BI19" s="22" t="s">
        <v>136</v>
      </c>
      <c r="BJ19" s="58"/>
      <c r="BL19" s="22" t="s">
        <v>91</v>
      </c>
      <c r="BN19" s="44"/>
      <c r="BP19" s="45"/>
      <c r="BQ19" s="46"/>
      <c r="BZ19">
        <v>902026</v>
      </c>
      <c r="CA19">
        <v>902026</v>
      </c>
      <c r="CB19" t="b">
        <f t="shared" si="3"/>
        <v>1</v>
      </c>
    </row>
    <row r="20" spans="1:80" ht="15" customHeight="1" x14ac:dyDescent="0.25">
      <c r="A20" s="22">
        <v>310</v>
      </c>
      <c r="B20" s="23" t="s">
        <v>137</v>
      </c>
      <c r="C20" s="22" t="s">
        <v>76</v>
      </c>
      <c r="D20" s="23" t="s">
        <v>138</v>
      </c>
      <c r="E20" s="23" t="s">
        <v>139</v>
      </c>
      <c r="F20" s="22" t="s">
        <v>86</v>
      </c>
      <c r="G20" s="22" t="s">
        <v>86</v>
      </c>
      <c r="H20" s="23" t="s">
        <v>88</v>
      </c>
      <c r="I20" s="24" t="s">
        <v>88</v>
      </c>
      <c r="J20" s="169">
        <v>8.6956519999999995E-2</v>
      </c>
      <c r="K20" s="26" t="s">
        <v>81</v>
      </c>
      <c r="L20" s="27">
        <v>0.35</v>
      </c>
      <c r="M20" s="28">
        <v>24</v>
      </c>
      <c r="N20" s="27">
        <f t="shared" si="0"/>
        <v>8.3999999999999986</v>
      </c>
      <c r="O20" s="27">
        <f t="shared" si="1"/>
        <v>1.4794164001354921</v>
      </c>
      <c r="P20" s="28">
        <v>6</v>
      </c>
      <c r="Q20" s="28">
        <v>10</v>
      </c>
      <c r="R20" s="29">
        <f t="shared" si="2"/>
        <v>60</v>
      </c>
      <c r="S20" s="30">
        <v>0.20250000000000001</v>
      </c>
      <c r="T20" s="30">
        <v>0</v>
      </c>
      <c r="U20" s="170">
        <v>902315</v>
      </c>
      <c r="V20" s="171">
        <v>4.1999999999999997E-3</v>
      </c>
      <c r="W20" s="172">
        <v>902332</v>
      </c>
      <c r="X20" s="173">
        <v>1.3386197999999998</v>
      </c>
      <c r="Y20" s="172">
        <v>902338</v>
      </c>
      <c r="Z20" s="173">
        <v>4.6569599999999989E-2</v>
      </c>
      <c r="AA20" s="172">
        <v>933139</v>
      </c>
      <c r="AB20" s="173">
        <v>24</v>
      </c>
      <c r="AC20" s="172">
        <v>935188</v>
      </c>
      <c r="AD20" s="173">
        <v>24</v>
      </c>
      <c r="AE20" s="172">
        <v>0</v>
      </c>
      <c r="AF20" s="173">
        <v>0</v>
      </c>
      <c r="AG20" s="174"/>
      <c r="AH20" s="175"/>
      <c r="AI20" s="172">
        <v>932677</v>
      </c>
      <c r="AJ20" s="173">
        <v>24</v>
      </c>
      <c r="AK20" s="176">
        <v>901734</v>
      </c>
      <c r="AL20" s="177">
        <v>1</v>
      </c>
      <c r="AM20" s="172">
        <v>0</v>
      </c>
      <c r="AN20" s="178">
        <v>0</v>
      </c>
      <c r="AO20" s="172">
        <v>0</v>
      </c>
      <c r="AP20" s="178">
        <v>0</v>
      </c>
      <c r="AQ20" s="172">
        <v>0</v>
      </c>
      <c r="AR20" s="178">
        <v>0</v>
      </c>
      <c r="AS20" s="172">
        <f t="shared" si="4"/>
        <v>903360</v>
      </c>
      <c r="AT20" s="178">
        <f t="shared" si="5"/>
        <v>1.6666666666666666E-2</v>
      </c>
      <c r="AU20" s="172">
        <v>0</v>
      </c>
      <c r="AV20" s="178">
        <v>0</v>
      </c>
      <c r="AW20" s="172">
        <v>0</v>
      </c>
      <c r="AX20" s="178">
        <v>0</v>
      </c>
      <c r="AZ20" s="170"/>
      <c r="BA20" s="179"/>
      <c r="BD20" s="42"/>
      <c r="BH20" t="s">
        <v>140</v>
      </c>
      <c r="BI20" s="22" t="s">
        <v>141</v>
      </c>
      <c r="BJ20" s="58">
        <v>2041.7</v>
      </c>
      <c r="BL20" s="22" t="s">
        <v>97</v>
      </c>
      <c r="BN20" s="44"/>
      <c r="BP20" s="45"/>
      <c r="BQ20" s="46"/>
      <c r="BZ20">
        <v>902315</v>
      </c>
      <c r="CA20">
        <v>920212</v>
      </c>
      <c r="CB20" t="b">
        <f t="shared" si="3"/>
        <v>0</v>
      </c>
    </row>
    <row r="21" spans="1:80" ht="15" customHeight="1" x14ac:dyDescent="0.25">
      <c r="A21" s="22">
        <v>318</v>
      </c>
      <c r="B21" s="23" t="s">
        <v>142</v>
      </c>
      <c r="C21" s="22" t="s">
        <v>76</v>
      </c>
      <c r="D21" s="23" t="s">
        <v>138</v>
      </c>
      <c r="E21" s="23" t="s">
        <v>139</v>
      </c>
      <c r="F21" s="22" t="s">
        <v>91</v>
      </c>
      <c r="G21" s="22" t="s">
        <v>91</v>
      </c>
      <c r="H21" s="23" t="s">
        <v>93</v>
      </c>
      <c r="I21" s="24" t="s">
        <v>93</v>
      </c>
      <c r="J21" s="180">
        <v>8.6956519999999995E-2</v>
      </c>
      <c r="K21" s="26" t="s">
        <v>94</v>
      </c>
      <c r="L21" s="27">
        <v>0.35399999999999998</v>
      </c>
      <c r="M21" s="28">
        <v>6</v>
      </c>
      <c r="N21" s="27">
        <f t="shared" si="0"/>
        <v>2.1239999999999997</v>
      </c>
      <c r="O21" s="27">
        <f t="shared" si="1"/>
        <v>0.37408100403426015</v>
      </c>
      <c r="P21" s="28">
        <v>11</v>
      </c>
      <c r="Q21" s="28">
        <v>45</v>
      </c>
      <c r="R21" s="29">
        <f t="shared" si="2"/>
        <v>495</v>
      </c>
      <c r="S21" s="30">
        <v>0.20250000000000001</v>
      </c>
      <c r="T21" s="30">
        <v>0.05</v>
      </c>
      <c r="U21" s="181">
        <v>0</v>
      </c>
      <c r="V21" s="182">
        <v>0</v>
      </c>
      <c r="W21" s="183">
        <v>0</v>
      </c>
      <c r="X21" s="184">
        <v>0</v>
      </c>
      <c r="Y21" s="183">
        <v>0</v>
      </c>
      <c r="Z21" s="184">
        <v>0</v>
      </c>
      <c r="AA21" s="183"/>
      <c r="AB21" s="184">
        <v>0</v>
      </c>
      <c r="AC21" s="183">
        <v>0</v>
      </c>
      <c r="AD21" s="184">
        <v>0</v>
      </c>
      <c r="AE21" s="183">
        <v>0</v>
      </c>
      <c r="AF21" s="184">
        <v>0</v>
      </c>
      <c r="AG21" s="185"/>
      <c r="AH21" s="186"/>
      <c r="AI21" s="183">
        <v>0</v>
      </c>
      <c r="AJ21" s="184">
        <v>0</v>
      </c>
      <c r="AK21" s="187">
        <v>0</v>
      </c>
      <c r="AL21" s="188">
        <v>0</v>
      </c>
      <c r="AM21" s="183">
        <v>0</v>
      </c>
      <c r="AN21" s="189">
        <v>0</v>
      </c>
      <c r="AO21" s="183">
        <v>0</v>
      </c>
      <c r="AP21" s="189">
        <v>0</v>
      </c>
      <c r="AQ21" s="183">
        <v>0</v>
      </c>
      <c r="AR21" s="189">
        <v>0</v>
      </c>
      <c r="AS21" s="183">
        <v>0</v>
      </c>
      <c r="AT21" s="189">
        <v>0</v>
      </c>
      <c r="AU21" s="183">
        <v>0</v>
      </c>
      <c r="AV21" s="189">
        <v>0</v>
      </c>
      <c r="AW21" s="183">
        <v>0</v>
      </c>
      <c r="AX21" s="189">
        <v>0</v>
      </c>
      <c r="AZ21" s="181"/>
      <c r="BA21" s="190"/>
      <c r="BD21" s="42"/>
      <c r="BI21" s="22" t="s">
        <v>143</v>
      </c>
      <c r="BJ21" s="58">
        <v>2035.3</v>
      </c>
      <c r="BL21" s="22" t="s">
        <v>102</v>
      </c>
      <c r="BN21" s="44"/>
      <c r="BP21" s="45"/>
      <c r="BQ21" s="46"/>
      <c r="BZ21">
        <v>0</v>
      </c>
      <c r="CA21">
        <v>0</v>
      </c>
      <c r="CB21" t="b">
        <f t="shared" si="3"/>
        <v>1</v>
      </c>
    </row>
    <row r="22" spans="1:80" ht="15" customHeight="1" x14ac:dyDescent="0.25">
      <c r="A22" s="22">
        <v>325</v>
      </c>
      <c r="B22" s="23" t="s">
        <v>144</v>
      </c>
      <c r="C22" s="22" t="s">
        <v>76</v>
      </c>
      <c r="D22" s="23" t="s">
        <v>138</v>
      </c>
      <c r="E22" s="23" t="s">
        <v>139</v>
      </c>
      <c r="F22" s="22" t="s">
        <v>97</v>
      </c>
      <c r="G22" s="22" t="s">
        <v>97</v>
      </c>
      <c r="H22" s="23" t="s">
        <v>99</v>
      </c>
      <c r="I22" s="24" t="s">
        <v>99</v>
      </c>
      <c r="J22" s="191">
        <v>8.6956519999999995E-2</v>
      </c>
      <c r="K22" s="26" t="s">
        <v>81</v>
      </c>
      <c r="L22" s="27">
        <v>1</v>
      </c>
      <c r="M22" s="28">
        <v>12</v>
      </c>
      <c r="N22" s="27">
        <f t="shared" si="0"/>
        <v>12</v>
      </c>
      <c r="O22" s="27">
        <f t="shared" si="1"/>
        <v>2.1134520001935604</v>
      </c>
      <c r="P22" s="28">
        <v>4</v>
      </c>
      <c r="Q22" s="28">
        <v>10</v>
      </c>
      <c r="R22" s="29">
        <f t="shared" si="2"/>
        <v>40</v>
      </c>
      <c r="S22" s="30">
        <v>0.20250000000000001</v>
      </c>
      <c r="T22" s="30">
        <v>0</v>
      </c>
      <c r="U22" s="192">
        <v>902315</v>
      </c>
      <c r="V22" s="193">
        <v>6.0000000000000001E-3</v>
      </c>
      <c r="W22" s="194">
        <v>902332</v>
      </c>
      <c r="X22" s="195">
        <v>1.9123139999999998</v>
      </c>
      <c r="Y22" s="194">
        <v>902338</v>
      </c>
      <c r="Z22" s="195">
        <v>7.6032000000000002E-2</v>
      </c>
      <c r="AA22" s="194">
        <v>933139</v>
      </c>
      <c r="AB22" s="195">
        <v>12</v>
      </c>
      <c r="AC22" s="194">
        <v>912619</v>
      </c>
      <c r="AD22" s="195">
        <v>12</v>
      </c>
      <c r="AE22" s="194">
        <v>0</v>
      </c>
      <c r="AF22" s="195">
        <v>0</v>
      </c>
      <c r="AG22" s="196"/>
      <c r="AH22" s="197"/>
      <c r="AI22" s="194">
        <v>934451</v>
      </c>
      <c r="AJ22" s="195">
        <v>12</v>
      </c>
      <c r="AK22" s="198">
        <v>907557</v>
      </c>
      <c r="AL22" s="199">
        <v>1</v>
      </c>
      <c r="AM22" s="194">
        <v>0</v>
      </c>
      <c r="AN22" s="200">
        <v>0</v>
      </c>
      <c r="AO22" s="194">
        <v>0</v>
      </c>
      <c r="AP22" s="200">
        <v>0</v>
      </c>
      <c r="AQ22" s="194">
        <v>0</v>
      </c>
      <c r="AR22" s="200">
        <v>0</v>
      </c>
      <c r="AS22" s="194">
        <f>IF(K22="P",903360,0)</f>
        <v>903360</v>
      </c>
      <c r="AT22" s="200">
        <f>1/R22</f>
        <v>2.5000000000000001E-2</v>
      </c>
      <c r="AU22" s="194">
        <v>0</v>
      </c>
      <c r="AV22" s="200">
        <v>0</v>
      </c>
      <c r="AW22" s="194">
        <v>0</v>
      </c>
      <c r="AX22" s="200">
        <v>0</v>
      </c>
      <c r="AZ22" s="192"/>
      <c r="BA22" s="201"/>
      <c r="BD22" s="42"/>
      <c r="BI22" s="22" t="s">
        <v>145</v>
      </c>
      <c r="BJ22" s="58">
        <v>2035.3</v>
      </c>
      <c r="BL22" s="22" t="s">
        <v>107</v>
      </c>
      <c r="BN22" s="44"/>
      <c r="BP22" s="45"/>
      <c r="BQ22" s="46"/>
      <c r="BZ22">
        <v>902315</v>
      </c>
      <c r="CA22">
        <v>902315</v>
      </c>
      <c r="CB22" t="b">
        <f t="shared" si="3"/>
        <v>1</v>
      </c>
    </row>
    <row r="23" spans="1:80" ht="15" customHeight="1" x14ac:dyDescent="0.25">
      <c r="A23" s="22">
        <v>327</v>
      </c>
      <c r="B23" s="23" t="s">
        <v>146</v>
      </c>
      <c r="C23" s="22" t="s">
        <v>76</v>
      </c>
      <c r="D23" s="23" t="s">
        <v>138</v>
      </c>
      <c r="E23" s="23" t="s">
        <v>139</v>
      </c>
      <c r="F23" s="22" t="s">
        <v>102</v>
      </c>
      <c r="G23" s="22" t="s">
        <v>102</v>
      </c>
      <c r="H23" s="23" t="s">
        <v>104</v>
      </c>
      <c r="I23" s="24" t="s">
        <v>104</v>
      </c>
      <c r="J23" s="202">
        <v>8.6956519999999982E-2</v>
      </c>
      <c r="K23" s="26" t="s">
        <v>81</v>
      </c>
      <c r="L23" s="27">
        <v>0.5</v>
      </c>
      <c r="M23" s="28">
        <v>12</v>
      </c>
      <c r="N23" s="27">
        <f t="shared" si="0"/>
        <v>6</v>
      </c>
      <c r="O23" s="27">
        <f t="shared" si="1"/>
        <v>1.0567260000967802</v>
      </c>
      <c r="P23" s="28">
        <v>6</v>
      </c>
      <c r="Q23" s="28">
        <v>24</v>
      </c>
      <c r="R23" s="29">
        <f t="shared" si="2"/>
        <v>144</v>
      </c>
      <c r="S23" s="30">
        <v>0.20250000000000001</v>
      </c>
      <c r="T23" s="30">
        <v>0</v>
      </c>
      <c r="U23" s="203">
        <v>902315</v>
      </c>
      <c r="V23" s="204">
        <v>3.0000000000000001E-3</v>
      </c>
      <c r="W23" s="205">
        <v>902332</v>
      </c>
      <c r="X23" s="206">
        <v>0.95615699999999992</v>
      </c>
      <c r="Y23" s="205">
        <v>902338</v>
      </c>
      <c r="Z23" s="206">
        <v>3.8016000000000001E-2</v>
      </c>
      <c r="AA23" s="205">
        <v>902255</v>
      </c>
      <c r="AB23" s="206">
        <v>12</v>
      </c>
      <c r="AC23" s="205">
        <v>912887</v>
      </c>
      <c r="AD23" s="206">
        <v>12</v>
      </c>
      <c r="AE23" s="205">
        <v>901189</v>
      </c>
      <c r="AF23" s="206">
        <v>12</v>
      </c>
      <c r="AG23" s="207"/>
      <c r="AH23" s="208"/>
      <c r="AI23" s="205">
        <v>0</v>
      </c>
      <c r="AJ23" s="206">
        <v>0</v>
      </c>
      <c r="AK23" s="209">
        <v>0</v>
      </c>
      <c r="AL23" s="210">
        <v>0</v>
      </c>
      <c r="AM23" s="205">
        <v>932317</v>
      </c>
      <c r="AN23" s="211">
        <v>1.9900000000000001E-2</v>
      </c>
      <c r="AO23" s="205">
        <v>902311</v>
      </c>
      <c r="AP23" s="211">
        <v>2.7777777777777779E-3</v>
      </c>
      <c r="AQ23" s="205">
        <v>933089</v>
      </c>
      <c r="AR23" s="211">
        <v>3.4722222222222224E-2</v>
      </c>
      <c r="AS23" s="205">
        <f>IF(K23="P",903360,0)</f>
        <v>903360</v>
      </c>
      <c r="AT23" s="211">
        <f>1/R23</f>
        <v>6.9444444444444441E-3</v>
      </c>
      <c r="AU23" s="205">
        <v>0</v>
      </c>
      <c r="AV23" s="211">
        <v>0</v>
      </c>
      <c r="AW23" s="205">
        <v>0</v>
      </c>
      <c r="AX23" s="211">
        <v>0</v>
      </c>
      <c r="AZ23" s="203"/>
      <c r="BA23" s="212"/>
      <c r="BD23" s="42"/>
      <c r="BH23" t="s">
        <v>147</v>
      </c>
      <c r="BI23" s="22" t="s">
        <v>148</v>
      </c>
      <c r="BJ23" s="58">
        <v>3446</v>
      </c>
      <c r="BL23" s="22" t="s">
        <v>113</v>
      </c>
      <c r="BN23" s="44"/>
      <c r="BP23" s="45"/>
      <c r="BQ23" s="46"/>
      <c r="BZ23">
        <v>902315</v>
      </c>
      <c r="CA23">
        <v>920212</v>
      </c>
      <c r="CB23" t="b">
        <f t="shared" si="3"/>
        <v>0</v>
      </c>
    </row>
    <row r="24" spans="1:80" ht="15" customHeight="1" x14ac:dyDescent="0.25">
      <c r="A24" s="22">
        <v>335</v>
      </c>
      <c r="B24" s="23" t="s">
        <v>149</v>
      </c>
      <c r="C24" s="22" t="s">
        <v>76</v>
      </c>
      <c r="D24" s="23" t="s">
        <v>138</v>
      </c>
      <c r="E24" s="23" t="s">
        <v>139</v>
      </c>
      <c r="F24" s="22" t="s">
        <v>109</v>
      </c>
      <c r="G24" s="22" t="s">
        <v>109</v>
      </c>
      <c r="H24" s="23" t="s">
        <v>110</v>
      </c>
      <c r="I24" s="24"/>
      <c r="J24" s="213">
        <v>8.6956519999999995E-2</v>
      </c>
      <c r="K24" s="26" t="s">
        <v>81</v>
      </c>
      <c r="L24" s="27">
        <v>2</v>
      </c>
      <c r="M24" s="28">
        <v>9</v>
      </c>
      <c r="N24" s="27">
        <f t="shared" si="0"/>
        <v>18</v>
      </c>
      <c r="O24" s="27">
        <f t="shared" si="1"/>
        <v>3.170178000290341</v>
      </c>
      <c r="P24" s="28">
        <v>4</v>
      </c>
      <c r="Q24" s="28">
        <v>10</v>
      </c>
      <c r="R24" s="29">
        <f t="shared" si="2"/>
        <v>40</v>
      </c>
      <c r="S24" s="30">
        <v>0.20250000000000001</v>
      </c>
      <c r="T24" s="30">
        <v>0</v>
      </c>
      <c r="U24" s="214">
        <v>902315</v>
      </c>
      <c r="V24" s="215">
        <v>9.0000000000000011E-3</v>
      </c>
      <c r="W24" s="216">
        <v>902332</v>
      </c>
      <c r="X24" s="217">
        <v>2.8684709999999995</v>
      </c>
      <c r="Y24" s="216">
        <v>902338</v>
      </c>
      <c r="Z24" s="217">
        <v>0.11404800000000001</v>
      </c>
      <c r="AA24" s="216">
        <v>939557</v>
      </c>
      <c r="AB24" s="217">
        <v>9</v>
      </c>
      <c r="AC24" s="216">
        <v>939636</v>
      </c>
      <c r="AD24" s="217">
        <v>9</v>
      </c>
      <c r="AE24" s="216">
        <v>0</v>
      </c>
      <c r="AF24" s="217"/>
      <c r="AG24" s="218"/>
      <c r="AH24" s="219"/>
      <c r="AI24" s="216">
        <v>939353</v>
      </c>
      <c r="AJ24" s="217">
        <v>9</v>
      </c>
      <c r="AK24" s="220">
        <v>939352</v>
      </c>
      <c r="AL24" s="221">
        <v>1</v>
      </c>
      <c r="AM24" s="216">
        <v>0</v>
      </c>
      <c r="AN24" s="222">
        <v>0</v>
      </c>
      <c r="AO24" s="216">
        <v>0</v>
      </c>
      <c r="AP24" s="222">
        <v>0</v>
      </c>
      <c r="AQ24" s="216">
        <v>0</v>
      </c>
      <c r="AR24" s="222">
        <v>0</v>
      </c>
      <c r="AS24" s="216">
        <f>IF(K24="P",903360,0)</f>
        <v>903360</v>
      </c>
      <c r="AT24" s="222">
        <f>1/R24</f>
        <v>2.5000000000000001E-2</v>
      </c>
      <c r="AU24" s="216">
        <v>0</v>
      </c>
      <c r="AV24" s="222">
        <v>0</v>
      </c>
      <c r="AW24" s="216">
        <v>0</v>
      </c>
      <c r="AX24" s="222">
        <v>0</v>
      </c>
      <c r="AZ24" s="214"/>
      <c r="BA24" s="223"/>
      <c r="BD24" s="42"/>
      <c r="BH24" t="s">
        <v>150</v>
      </c>
      <c r="BI24" s="22" t="s">
        <v>151</v>
      </c>
      <c r="BJ24" s="58">
        <v>2297</v>
      </c>
      <c r="BL24" s="22" t="s">
        <v>118</v>
      </c>
      <c r="BN24" s="44"/>
      <c r="BP24" s="45"/>
      <c r="BQ24" s="46"/>
      <c r="BZ24">
        <v>902315</v>
      </c>
      <c r="CA24">
        <v>920212</v>
      </c>
      <c r="CB24" t="b">
        <f t="shared" si="3"/>
        <v>0</v>
      </c>
    </row>
    <row r="25" spans="1:80" ht="15" customHeight="1" x14ac:dyDescent="0.25">
      <c r="A25" s="22">
        <v>337</v>
      </c>
      <c r="B25" s="23" t="s">
        <v>152</v>
      </c>
      <c r="C25" s="22" t="s">
        <v>76</v>
      </c>
      <c r="D25" s="23" t="s">
        <v>138</v>
      </c>
      <c r="E25" s="23" t="s">
        <v>139</v>
      </c>
      <c r="F25" s="22" t="s">
        <v>153</v>
      </c>
      <c r="G25" s="22" t="s">
        <v>153</v>
      </c>
      <c r="H25" s="23" t="s">
        <v>154</v>
      </c>
      <c r="I25" s="24"/>
      <c r="J25" s="224"/>
      <c r="K25" s="26" t="s">
        <v>94</v>
      </c>
      <c r="L25" s="27">
        <v>0.23699999999999999</v>
      </c>
      <c r="M25" s="28">
        <v>8</v>
      </c>
      <c r="N25" s="27">
        <f t="shared" si="0"/>
        <v>1.8959999999999999</v>
      </c>
      <c r="O25" s="27">
        <f t="shared" si="1"/>
        <v>0.33392541603058257</v>
      </c>
      <c r="P25" s="28">
        <v>8</v>
      </c>
      <c r="Q25" s="28">
        <v>45</v>
      </c>
      <c r="R25" s="29">
        <f t="shared" si="2"/>
        <v>360</v>
      </c>
      <c r="S25" s="30">
        <v>0.20250000000000001</v>
      </c>
      <c r="T25" s="30">
        <v>0.05</v>
      </c>
      <c r="U25" s="225"/>
      <c r="V25" s="226"/>
      <c r="W25" s="227"/>
      <c r="X25" s="228">
        <v>0</v>
      </c>
      <c r="Y25" s="227"/>
      <c r="Z25" s="228">
        <v>0</v>
      </c>
      <c r="AA25" s="227"/>
      <c r="AB25" s="228"/>
      <c r="AC25" s="227">
        <v>0</v>
      </c>
      <c r="AD25" s="228">
        <v>0</v>
      </c>
      <c r="AE25" s="227">
        <v>0</v>
      </c>
      <c r="AF25" s="228">
        <v>0</v>
      </c>
      <c r="AG25" s="229"/>
      <c r="AH25" s="230"/>
      <c r="AI25" s="227">
        <v>0</v>
      </c>
      <c r="AJ25" s="228">
        <v>0</v>
      </c>
      <c r="AK25" s="231">
        <v>0</v>
      </c>
      <c r="AL25" s="232">
        <v>0</v>
      </c>
      <c r="AM25" s="227">
        <v>0</v>
      </c>
      <c r="AN25" s="233">
        <v>0</v>
      </c>
      <c r="AO25" s="227">
        <v>0</v>
      </c>
      <c r="AP25" s="233">
        <v>0</v>
      </c>
      <c r="AQ25" s="227">
        <v>0</v>
      </c>
      <c r="AR25" s="233">
        <v>0</v>
      </c>
      <c r="AS25" s="227">
        <v>0</v>
      </c>
      <c r="AT25" s="233">
        <v>0</v>
      </c>
      <c r="AU25" s="227">
        <v>0</v>
      </c>
      <c r="AV25" s="233">
        <v>0</v>
      </c>
      <c r="AW25" s="227">
        <v>0</v>
      </c>
      <c r="AX25" s="233">
        <v>0</v>
      </c>
      <c r="AZ25" s="225"/>
      <c r="BA25" s="234"/>
      <c r="BD25" s="42"/>
      <c r="BH25" t="s">
        <v>155</v>
      </c>
      <c r="BI25" s="22" t="s">
        <v>156</v>
      </c>
      <c r="BJ25" s="58">
        <v>2067</v>
      </c>
      <c r="BL25" s="22" t="s">
        <v>123</v>
      </c>
      <c r="BN25" s="44"/>
      <c r="BP25" s="45"/>
      <c r="BQ25" s="46"/>
      <c r="CA25">
        <v>0</v>
      </c>
      <c r="CB25" t="b">
        <f t="shared" si="3"/>
        <v>1</v>
      </c>
    </row>
    <row r="26" spans="1:80" ht="15" customHeight="1" x14ac:dyDescent="0.25">
      <c r="A26" s="22">
        <v>340</v>
      </c>
      <c r="B26" s="23" t="s">
        <v>157</v>
      </c>
      <c r="C26" s="22" t="s">
        <v>76</v>
      </c>
      <c r="D26" s="23" t="s">
        <v>138</v>
      </c>
      <c r="E26" s="23" t="s">
        <v>139</v>
      </c>
      <c r="F26" s="22" t="s">
        <v>107</v>
      </c>
      <c r="G26" s="22" t="s">
        <v>107</v>
      </c>
      <c r="H26" s="23" t="s">
        <v>115</v>
      </c>
      <c r="I26" s="24" t="s">
        <v>115</v>
      </c>
      <c r="J26" s="235">
        <v>8.6956519999999995E-2</v>
      </c>
      <c r="K26" s="26" t="s">
        <v>81</v>
      </c>
      <c r="L26" s="27">
        <v>1.5</v>
      </c>
      <c r="M26" s="28">
        <v>8</v>
      </c>
      <c r="N26" s="27">
        <f t="shared" si="0"/>
        <v>12</v>
      </c>
      <c r="O26" s="27">
        <f t="shared" si="1"/>
        <v>2.1134520001935604</v>
      </c>
      <c r="P26" s="28">
        <v>4</v>
      </c>
      <c r="Q26" s="28">
        <v>21</v>
      </c>
      <c r="R26" s="29">
        <f t="shared" si="2"/>
        <v>84</v>
      </c>
      <c r="S26" s="30">
        <v>0.20250000000000001</v>
      </c>
      <c r="T26" s="30">
        <v>0</v>
      </c>
      <c r="U26" s="236">
        <v>902315</v>
      </c>
      <c r="V26" s="237">
        <v>6.0000000000000001E-3</v>
      </c>
      <c r="W26" s="238">
        <v>902332</v>
      </c>
      <c r="X26" s="239">
        <v>1.9123139999999998</v>
      </c>
      <c r="Y26" s="238">
        <v>902338</v>
      </c>
      <c r="Z26" s="239">
        <v>7.6032000000000002E-2</v>
      </c>
      <c r="AA26" s="238">
        <v>902255</v>
      </c>
      <c r="AB26" s="239">
        <v>8</v>
      </c>
      <c r="AC26" s="238">
        <v>930211</v>
      </c>
      <c r="AD26" s="239">
        <v>8</v>
      </c>
      <c r="AE26" s="238">
        <v>913486</v>
      </c>
      <c r="AF26" s="239">
        <v>8</v>
      </c>
      <c r="AG26" s="240"/>
      <c r="AH26" s="241"/>
      <c r="AI26" s="238">
        <v>0</v>
      </c>
      <c r="AJ26" s="239">
        <v>0</v>
      </c>
      <c r="AK26" s="242">
        <v>0</v>
      </c>
      <c r="AL26" s="243">
        <v>0</v>
      </c>
      <c r="AM26" s="238">
        <v>902310</v>
      </c>
      <c r="AN26" s="244">
        <v>3.1199999999999999E-2</v>
      </c>
      <c r="AO26" s="238">
        <v>902311</v>
      </c>
      <c r="AP26" s="244">
        <v>5.0000000000000001E-3</v>
      </c>
      <c r="AQ26" s="238">
        <v>910319</v>
      </c>
      <c r="AR26" s="244">
        <v>3.5714285714285712E-2</v>
      </c>
      <c r="AS26" s="238">
        <f>IF(K26="P",903360,0)</f>
        <v>903360</v>
      </c>
      <c r="AT26" s="244">
        <f>1/R26</f>
        <v>1.1904761904761904E-2</v>
      </c>
      <c r="AU26" s="238">
        <v>0</v>
      </c>
      <c r="AV26" s="244">
        <v>0</v>
      </c>
      <c r="AW26" s="238">
        <v>0</v>
      </c>
      <c r="AX26" s="244">
        <v>0</v>
      </c>
      <c r="AZ26" s="236"/>
      <c r="BA26" s="245"/>
      <c r="BD26" s="42"/>
      <c r="BH26" t="s">
        <v>158</v>
      </c>
      <c r="BI26" s="22" t="s">
        <v>159</v>
      </c>
      <c r="BJ26" s="58">
        <v>3007.8</v>
      </c>
      <c r="BL26" s="22" t="s">
        <v>79</v>
      </c>
      <c r="BN26" s="44"/>
      <c r="BP26" s="45"/>
      <c r="BQ26" s="46"/>
      <c r="BZ26">
        <v>902315</v>
      </c>
      <c r="CA26">
        <v>920212</v>
      </c>
      <c r="CB26" t="b">
        <f t="shared" si="3"/>
        <v>0</v>
      </c>
    </row>
    <row r="27" spans="1:80" ht="15" customHeight="1" x14ac:dyDescent="0.25">
      <c r="A27" s="22">
        <v>344</v>
      </c>
      <c r="B27" s="23" t="s">
        <v>160</v>
      </c>
      <c r="C27" s="22" t="s">
        <v>76</v>
      </c>
      <c r="D27" s="23" t="s">
        <v>138</v>
      </c>
      <c r="E27" s="23" t="s">
        <v>139</v>
      </c>
      <c r="F27" s="22" t="s">
        <v>113</v>
      </c>
      <c r="G27" s="22" t="s">
        <v>113</v>
      </c>
      <c r="H27" s="23" t="s">
        <v>120</v>
      </c>
      <c r="I27" s="24" t="s">
        <v>120</v>
      </c>
      <c r="J27" s="246">
        <v>8.6956519999999995E-2</v>
      </c>
      <c r="K27" s="26" t="s">
        <v>81</v>
      </c>
      <c r="L27" s="27">
        <v>1.75</v>
      </c>
      <c r="M27" s="28">
        <v>8</v>
      </c>
      <c r="N27" s="27">
        <f t="shared" si="0"/>
        <v>14</v>
      </c>
      <c r="O27" s="27">
        <f t="shared" si="1"/>
        <v>2.4656940002258207</v>
      </c>
      <c r="P27" s="28">
        <v>5</v>
      </c>
      <c r="Q27" s="28">
        <v>15</v>
      </c>
      <c r="R27" s="29">
        <f t="shared" si="2"/>
        <v>75</v>
      </c>
      <c r="S27" s="30">
        <v>0.20250000000000001</v>
      </c>
      <c r="T27" s="30">
        <v>0</v>
      </c>
      <c r="U27" s="247">
        <v>902315</v>
      </c>
      <c r="V27" s="248">
        <v>7.0000000000000001E-3</v>
      </c>
      <c r="W27" s="249">
        <v>902332</v>
      </c>
      <c r="X27" s="250">
        <v>2.231033</v>
      </c>
      <c r="Y27" s="249">
        <v>902338</v>
      </c>
      <c r="Z27" s="250">
        <v>8.8704000000000005E-2</v>
      </c>
      <c r="AA27" s="249">
        <v>902255</v>
      </c>
      <c r="AB27" s="250">
        <v>8</v>
      </c>
      <c r="AC27" s="249">
        <v>930637</v>
      </c>
      <c r="AD27" s="250">
        <v>8</v>
      </c>
      <c r="AE27" s="249">
        <v>911881</v>
      </c>
      <c r="AF27" s="250">
        <v>8</v>
      </c>
      <c r="AG27" s="251"/>
      <c r="AH27" s="252"/>
      <c r="AI27" s="249">
        <v>0</v>
      </c>
      <c r="AJ27" s="250">
        <v>0</v>
      </c>
      <c r="AK27" s="253">
        <v>0</v>
      </c>
      <c r="AL27" s="254">
        <v>0</v>
      </c>
      <c r="AM27" s="249">
        <v>902310</v>
      </c>
      <c r="AN27" s="255">
        <v>3.3099999999999997E-2</v>
      </c>
      <c r="AO27" s="249">
        <v>923266</v>
      </c>
      <c r="AP27" s="255">
        <v>5.0000000000000001E-3</v>
      </c>
      <c r="AQ27" s="249">
        <v>910319</v>
      </c>
      <c r="AR27" s="255">
        <v>5.3333333333333337E-2</v>
      </c>
      <c r="AS27" s="249">
        <f>IF(K27="P",903360,0)</f>
        <v>903360</v>
      </c>
      <c r="AT27" s="255">
        <f>1/R27</f>
        <v>1.3333333333333334E-2</v>
      </c>
      <c r="AU27" s="249">
        <v>0</v>
      </c>
      <c r="AV27" s="255">
        <v>0</v>
      </c>
      <c r="AW27" s="249">
        <v>0</v>
      </c>
      <c r="AX27" s="255">
        <v>0</v>
      </c>
      <c r="AZ27" s="247"/>
      <c r="BA27" s="256"/>
      <c r="BD27" s="42"/>
      <c r="BH27" t="s">
        <v>161</v>
      </c>
      <c r="BI27" s="22" t="s">
        <v>162</v>
      </c>
      <c r="BJ27" s="58">
        <v>3007.8</v>
      </c>
      <c r="BL27" s="22" t="s">
        <v>163</v>
      </c>
      <c r="BN27" s="44"/>
      <c r="BP27" s="45"/>
      <c r="BQ27" s="46"/>
      <c r="BZ27">
        <v>902315</v>
      </c>
      <c r="CA27">
        <v>920212</v>
      </c>
      <c r="CB27" t="b">
        <f t="shared" si="3"/>
        <v>0</v>
      </c>
    </row>
    <row r="28" spans="1:80" ht="15" customHeight="1" x14ac:dyDescent="0.25">
      <c r="A28" s="22">
        <v>359</v>
      </c>
      <c r="B28" s="23" t="s">
        <v>164</v>
      </c>
      <c r="C28" s="22" t="s">
        <v>76</v>
      </c>
      <c r="D28" s="23" t="s">
        <v>138</v>
      </c>
      <c r="E28" s="23" t="s">
        <v>139</v>
      </c>
      <c r="F28" s="22" t="s">
        <v>118</v>
      </c>
      <c r="G28" s="22" t="s">
        <v>118</v>
      </c>
      <c r="H28" s="23" t="s">
        <v>125</v>
      </c>
      <c r="I28" s="24" t="s">
        <v>125</v>
      </c>
      <c r="J28" s="257">
        <v>8.6956519999999995E-2</v>
      </c>
      <c r="K28" s="26" t="s">
        <v>81</v>
      </c>
      <c r="L28" s="27">
        <v>2.25</v>
      </c>
      <c r="M28" s="28">
        <v>6</v>
      </c>
      <c r="N28" s="27">
        <f t="shared" si="0"/>
        <v>13.5</v>
      </c>
      <c r="O28" s="27">
        <f t="shared" si="1"/>
        <v>2.3776335002177555</v>
      </c>
      <c r="P28" s="28">
        <v>4</v>
      </c>
      <c r="Q28" s="28">
        <v>20</v>
      </c>
      <c r="R28" s="29">
        <f t="shared" si="2"/>
        <v>80</v>
      </c>
      <c r="S28" s="30">
        <v>0.20250000000000001</v>
      </c>
      <c r="T28" s="30">
        <v>0</v>
      </c>
      <c r="U28" s="258">
        <v>902315</v>
      </c>
      <c r="V28" s="259">
        <v>6.7499999999999991E-3</v>
      </c>
      <c r="W28" s="260">
        <v>902332</v>
      </c>
      <c r="X28" s="261">
        <v>2.1513532499999997</v>
      </c>
      <c r="Y28" s="260">
        <v>902338</v>
      </c>
      <c r="Z28" s="261">
        <v>8.5536000000000001E-2</v>
      </c>
      <c r="AA28" s="260">
        <v>902255</v>
      </c>
      <c r="AB28" s="261">
        <v>6</v>
      </c>
      <c r="AC28" s="260">
        <v>930212</v>
      </c>
      <c r="AD28" s="261">
        <v>6</v>
      </c>
      <c r="AE28" s="260">
        <v>911423</v>
      </c>
      <c r="AF28" s="261">
        <v>6</v>
      </c>
      <c r="AG28" s="262"/>
      <c r="AH28" s="263"/>
      <c r="AI28" s="260">
        <v>0</v>
      </c>
      <c r="AJ28" s="261">
        <v>0</v>
      </c>
      <c r="AK28" s="264">
        <v>0</v>
      </c>
      <c r="AL28" s="265">
        <v>0</v>
      </c>
      <c r="AM28" s="260">
        <v>932442</v>
      </c>
      <c r="AN28" s="266">
        <v>2.7699999999999999E-2</v>
      </c>
      <c r="AO28" s="260">
        <v>902311</v>
      </c>
      <c r="AP28" s="266">
        <v>4.3750000000000004E-3</v>
      </c>
      <c r="AQ28" s="260">
        <v>933089</v>
      </c>
      <c r="AR28" s="266">
        <v>3.7499999999999999E-2</v>
      </c>
      <c r="AS28" s="260">
        <f>IF(K28="P",903360,0)</f>
        <v>903360</v>
      </c>
      <c r="AT28" s="266">
        <f>1/R28</f>
        <v>1.2500000000000001E-2</v>
      </c>
      <c r="AU28" s="260">
        <v>0</v>
      </c>
      <c r="AV28" s="266">
        <v>0</v>
      </c>
      <c r="AW28" s="260">
        <v>0</v>
      </c>
      <c r="AX28" s="266">
        <v>0</v>
      </c>
      <c r="AZ28" s="258"/>
      <c r="BA28" s="267"/>
      <c r="BD28" s="42"/>
      <c r="BH28" t="s">
        <v>165</v>
      </c>
      <c r="BI28" s="22" t="s">
        <v>166</v>
      </c>
      <c r="BJ28" s="58">
        <v>3007.8</v>
      </c>
      <c r="BL28" s="22" t="s">
        <v>163</v>
      </c>
      <c r="BN28" s="44"/>
      <c r="BP28" s="45"/>
      <c r="BQ28" s="46"/>
      <c r="BZ28">
        <v>902315</v>
      </c>
      <c r="CA28">
        <v>920212</v>
      </c>
      <c r="CB28" t="b">
        <f t="shared" si="3"/>
        <v>0</v>
      </c>
    </row>
    <row r="29" spans="1:80" ht="15" customHeight="1" x14ac:dyDescent="0.25">
      <c r="A29" s="22">
        <v>361</v>
      </c>
      <c r="B29" s="23" t="s">
        <v>167</v>
      </c>
      <c r="C29" s="22" t="s">
        <v>76</v>
      </c>
      <c r="D29" s="23" t="s">
        <v>138</v>
      </c>
      <c r="E29" s="23" t="s">
        <v>139</v>
      </c>
      <c r="F29" s="22" t="s">
        <v>123</v>
      </c>
      <c r="G29" s="22" t="s">
        <v>123</v>
      </c>
      <c r="H29" s="23" t="s">
        <v>130</v>
      </c>
      <c r="I29" s="24" t="s">
        <v>130</v>
      </c>
      <c r="J29" s="268">
        <v>8.6956519999999995E-2</v>
      </c>
      <c r="K29" s="26" t="s">
        <v>81</v>
      </c>
      <c r="L29" s="27">
        <v>3</v>
      </c>
      <c r="M29" s="28">
        <v>6</v>
      </c>
      <c r="N29" s="27">
        <f t="shared" si="0"/>
        <v>18</v>
      </c>
      <c r="O29" s="27">
        <f t="shared" si="1"/>
        <v>3.170178000290341</v>
      </c>
      <c r="P29" s="28">
        <v>4</v>
      </c>
      <c r="Q29" s="28">
        <v>15</v>
      </c>
      <c r="R29" s="29">
        <f t="shared" si="2"/>
        <v>60</v>
      </c>
      <c r="S29" s="30">
        <v>0.20250000000000001</v>
      </c>
      <c r="T29" s="30">
        <v>0</v>
      </c>
      <c r="U29" s="269">
        <v>902315</v>
      </c>
      <c r="V29" s="270">
        <v>9.0000000000000011E-3</v>
      </c>
      <c r="W29" s="271">
        <v>902332</v>
      </c>
      <c r="X29" s="272">
        <v>2.8684709999999995</v>
      </c>
      <c r="Y29" s="271">
        <v>902338</v>
      </c>
      <c r="Z29" s="272">
        <v>0.11404800000000001</v>
      </c>
      <c r="AA29" s="271">
        <v>902255</v>
      </c>
      <c r="AB29" s="272">
        <v>6</v>
      </c>
      <c r="AC29" s="271">
        <v>930213</v>
      </c>
      <c r="AD29" s="272">
        <v>6</v>
      </c>
      <c r="AE29" s="271">
        <v>913487</v>
      </c>
      <c r="AF29" s="272">
        <v>6</v>
      </c>
      <c r="AG29" s="273"/>
      <c r="AH29" s="274"/>
      <c r="AI29" s="271">
        <v>0</v>
      </c>
      <c r="AJ29" s="272">
        <v>0</v>
      </c>
      <c r="AK29" s="275">
        <v>0</v>
      </c>
      <c r="AL29" s="276">
        <v>0</v>
      </c>
      <c r="AM29" s="271">
        <v>902310</v>
      </c>
      <c r="AN29" s="277">
        <v>3.6200000000000003E-2</v>
      </c>
      <c r="AO29" s="271">
        <v>923266</v>
      </c>
      <c r="AP29" s="277">
        <v>8.1665999999999996E-3</v>
      </c>
      <c r="AQ29" s="271">
        <v>910319</v>
      </c>
      <c r="AR29" s="277">
        <v>0.05</v>
      </c>
      <c r="AS29" s="271">
        <f>IF(K29="P",903360,0)</f>
        <v>903360</v>
      </c>
      <c r="AT29" s="277">
        <f>1/R29</f>
        <v>1.6666666666666666E-2</v>
      </c>
      <c r="AU29" s="271">
        <v>0</v>
      </c>
      <c r="AV29" s="277">
        <v>0</v>
      </c>
      <c r="AW29" s="271">
        <v>0</v>
      </c>
      <c r="AX29" s="277">
        <v>0</v>
      </c>
      <c r="AZ29" s="269"/>
      <c r="BA29" s="278"/>
      <c r="BD29" s="42"/>
      <c r="BH29" t="s">
        <v>168</v>
      </c>
      <c r="BI29" s="22" t="s">
        <v>77</v>
      </c>
      <c r="BJ29" s="58">
        <v>1920</v>
      </c>
      <c r="BL29" s="22" t="s">
        <v>163</v>
      </c>
      <c r="BN29" s="44"/>
      <c r="BP29" s="45"/>
      <c r="BQ29" s="46"/>
      <c r="BZ29">
        <v>902315</v>
      </c>
      <c r="CA29">
        <v>920212</v>
      </c>
      <c r="CB29" t="b">
        <f t="shared" si="3"/>
        <v>0</v>
      </c>
    </row>
    <row r="30" spans="1:80" ht="15" customHeight="1" x14ac:dyDescent="0.25">
      <c r="A30" s="22">
        <v>440</v>
      </c>
      <c r="B30" s="23" t="s">
        <v>169</v>
      </c>
      <c r="C30" s="22" t="s">
        <v>170</v>
      </c>
      <c r="D30" s="23" t="s">
        <v>85</v>
      </c>
      <c r="E30" s="23" t="s">
        <v>85</v>
      </c>
      <c r="F30" s="22" t="s">
        <v>171</v>
      </c>
      <c r="G30" s="22" t="s">
        <v>79</v>
      </c>
      <c r="H30" s="23" t="s">
        <v>171</v>
      </c>
      <c r="I30" s="24" t="s">
        <v>172</v>
      </c>
      <c r="J30" s="279">
        <v>0</v>
      </c>
      <c r="K30" s="26" t="s">
        <v>94</v>
      </c>
      <c r="L30" s="27">
        <v>1</v>
      </c>
      <c r="M30" s="28">
        <v>8</v>
      </c>
      <c r="N30" s="27">
        <f t="shared" si="0"/>
        <v>8</v>
      </c>
      <c r="O30" s="27">
        <f t="shared" si="1"/>
        <v>1.4089680001290403</v>
      </c>
      <c r="P30" s="28">
        <v>5</v>
      </c>
      <c r="Q30" s="28">
        <v>21</v>
      </c>
      <c r="R30" s="29">
        <f t="shared" si="2"/>
        <v>105</v>
      </c>
      <c r="S30" s="30">
        <v>0.24</v>
      </c>
      <c r="T30" s="30">
        <v>0.14000000000000001</v>
      </c>
      <c r="U30" s="280">
        <v>0</v>
      </c>
      <c r="V30" s="281">
        <v>0</v>
      </c>
      <c r="W30" s="282">
        <v>0</v>
      </c>
      <c r="X30" s="283">
        <v>0</v>
      </c>
      <c r="Y30" s="282">
        <v>0</v>
      </c>
      <c r="Z30" s="283">
        <v>0</v>
      </c>
      <c r="AA30" s="282"/>
      <c r="AB30" s="283">
        <v>0</v>
      </c>
      <c r="AC30" s="282">
        <v>0</v>
      </c>
      <c r="AD30" s="283">
        <v>0</v>
      </c>
      <c r="AE30" s="282">
        <v>0</v>
      </c>
      <c r="AF30" s="283">
        <v>0</v>
      </c>
      <c r="AG30" s="284"/>
      <c r="AH30" s="285"/>
      <c r="AI30" s="282">
        <v>0</v>
      </c>
      <c r="AJ30" s="283">
        <v>0</v>
      </c>
      <c r="AK30" s="286">
        <v>0</v>
      </c>
      <c r="AL30" s="287">
        <v>0</v>
      </c>
      <c r="AM30" s="282">
        <v>0</v>
      </c>
      <c r="AN30" s="288">
        <v>0</v>
      </c>
      <c r="AO30" s="282">
        <v>0</v>
      </c>
      <c r="AP30" s="288">
        <v>0</v>
      </c>
      <c r="AQ30" s="282">
        <v>0</v>
      </c>
      <c r="AR30" s="288">
        <v>0</v>
      </c>
      <c r="AS30" s="282">
        <v>0</v>
      </c>
      <c r="AT30" s="288">
        <v>0</v>
      </c>
      <c r="AU30" s="282">
        <v>0</v>
      </c>
      <c r="AV30" s="288">
        <v>0</v>
      </c>
      <c r="AW30" s="282">
        <v>0</v>
      </c>
      <c r="AX30" s="288">
        <v>0</v>
      </c>
      <c r="AZ30" s="280"/>
      <c r="BA30" s="289"/>
      <c r="BD30" s="42"/>
      <c r="BI30" s="22" t="s">
        <v>173</v>
      </c>
      <c r="BJ30" s="58">
        <v>1920</v>
      </c>
      <c r="BL30" s="22" t="s">
        <v>163</v>
      </c>
      <c r="BN30" s="44"/>
      <c r="BP30" s="45"/>
      <c r="BQ30" s="46"/>
      <c r="BZ30">
        <v>0</v>
      </c>
      <c r="CA30">
        <v>0</v>
      </c>
      <c r="CB30" t="b">
        <f t="shared" si="3"/>
        <v>1</v>
      </c>
    </row>
    <row r="31" spans="1:80" ht="15" customHeight="1" x14ac:dyDescent="0.25">
      <c r="A31" s="22">
        <v>500</v>
      </c>
      <c r="B31" s="23" t="s">
        <v>174</v>
      </c>
      <c r="C31" s="22" t="s">
        <v>170</v>
      </c>
      <c r="D31" s="23" t="s">
        <v>85</v>
      </c>
      <c r="E31" s="23" t="s">
        <v>85</v>
      </c>
      <c r="F31" s="22" t="s">
        <v>175</v>
      </c>
      <c r="G31" s="22" t="s">
        <v>163</v>
      </c>
      <c r="H31" s="23" t="s">
        <v>175</v>
      </c>
      <c r="I31" s="24" t="s">
        <v>176</v>
      </c>
      <c r="J31" s="290">
        <v>0</v>
      </c>
      <c r="K31" s="26" t="s">
        <v>94</v>
      </c>
      <c r="L31" s="27">
        <v>0.2</v>
      </c>
      <c r="M31" s="28">
        <v>6</v>
      </c>
      <c r="N31" s="27">
        <f t="shared" si="0"/>
        <v>1.2000000000000002</v>
      </c>
      <c r="O31" s="27">
        <f t="shared" si="1"/>
        <v>0.21134520001935608</v>
      </c>
      <c r="P31" s="28">
        <v>9</v>
      </c>
      <c r="Q31" s="28">
        <v>84</v>
      </c>
      <c r="R31" s="29">
        <f t="shared" si="2"/>
        <v>756</v>
      </c>
      <c r="S31" s="30">
        <v>0.24</v>
      </c>
      <c r="T31" s="30">
        <v>0.14000000000000001</v>
      </c>
      <c r="U31" s="291">
        <v>0</v>
      </c>
      <c r="V31" s="292">
        <v>0</v>
      </c>
      <c r="W31" s="293">
        <v>0</v>
      </c>
      <c r="X31" s="294">
        <v>0</v>
      </c>
      <c r="Y31" s="293">
        <v>0</v>
      </c>
      <c r="Z31" s="294">
        <v>0</v>
      </c>
      <c r="AA31" s="293"/>
      <c r="AB31" s="294">
        <v>0</v>
      </c>
      <c r="AC31" s="293">
        <v>0</v>
      </c>
      <c r="AD31" s="294">
        <v>0</v>
      </c>
      <c r="AE31" s="293">
        <v>0</v>
      </c>
      <c r="AF31" s="294">
        <v>0</v>
      </c>
      <c r="AG31" s="295"/>
      <c r="AH31" s="296"/>
      <c r="AI31" s="293">
        <v>0</v>
      </c>
      <c r="AJ31" s="294">
        <v>0</v>
      </c>
      <c r="AK31" s="297">
        <v>0</v>
      </c>
      <c r="AL31" s="298">
        <v>0</v>
      </c>
      <c r="AM31" s="293">
        <v>0</v>
      </c>
      <c r="AN31" s="299">
        <v>0</v>
      </c>
      <c r="AO31" s="293">
        <v>0</v>
      </c>
      <c r="AP31" s="299">
        <v>0</v>
      </c>
      <c r="AQ31" s="293">
        <v>0</v>
      </c>
      <c r="AR31" s="299">
        <v>0</v>
      </c>
      <c r="AS31" s="293">
        <v>0</v>
      </c>
      <c r="AT31" s="299">
        <v>0</v>
      </c>
      <c r="AU31" s="293">
        <v>0</v>
      </c>
      <c r="AV31" s="299">
        <v>0</v>
      </c>
      <c r="AW31" s="293">
        <v>0</v>
      </c>
      <c r="AX31" s="299">
        <v>0</v>
      </c>
      <c r="AZ31" s="291"/>
      <c r="BA31" s="300"/>
      <c r="BD31" s="42"/>
      <c r="BH31" t="s">
        <v>177</v>
      </c>
      <c r="BI31" s="22" t="s">
        <v>78</v>
      </c>
      <c r="BJ31" s="58">
        <v>1920</v>
      </c>
      <c r="BL31" s="22" t="s">
        <v>163</v>
      </c>
      <c r="BN31" s="44"/>
      <c r="BP31" s="45"/>
      <c r="BQ31" s="46"/>
      <c r="BZ31">
        <v>0</v>
      </c>
      <c r="CA31">
        <v>0</v>
      </c>
      <c r="CB31" t="b">
        <f t="shared" si="3"/>
        <v>1</v>
      </c>
    </row>
    <row r="32" spans="1:80" ht="15" customHeight="1" x14ac:dyDescent="0.25">
      <c r="A32" s="22">
        <v>502</v>
      </c>
      <c r="B32" s="23" t="s">
        <v>178</v>
      </c>
      <c r="C32" s="22" t="s">
        <v>170</v>
      </c>
      <c r="D32" s="23" t="s">
        <v>85</v>
      </c>
      <c r="E32" s="23" t="s">
        <v>85</v>
      </c>
      <c r="F32" s="22" t="s">
        <v>175</v>
      </c>
      <c r="G32" s="22" t="s">
        <v>163</v>
      </c>
      <c r="H32" s="23" t="s">
        <v>175</v>
      </c>
      <c r="I32" s="24" t="s">
        <v>179</v>
      </c>
      <c r="J32" s="301">
        <v>0</v>
      </c>
      <c r="K32" s="26" t="s">
        <v>94</v>
      </c>
      <c r="L32" s="27">
        <v>0.2</v>
      </c>
      <c r="M32" s="28">
        <v>6</v>
      </c>
      <c r="N32" s="27">
        <f t="shared" si="0"/>
        <v>1.2000000000000002</v>
      </c>
      <c r="O32" s="27">
        <f t="shared" si="1"/>
        <v>0.21134520001935608</v>
      </c>
      <c r="P32" s="28">
        <v>9</v>
      </c>
      <c r="Q32" s="28">
        <v>84</v>
      </c>
      <c r="R32" s="29">
        <f t="shared" si="2"/>
        <v>756</v>
      </c>
      <c r="S32" s="30">
        <v>0.24</v>
      </c>
      <c r="T32" s="30">
        <v>0.14000000000000001</v>
      </c>
      <c r="U32" s="302">
        <v>0</v>
      </c>
      <c r="V32" s="303">
        <v>0</v>
      </c>
      <c r="W32" s="304">
        <v>0</v>
      </c>
      <c r="X32" s="305">
        <v>0</v>
      </c>
      <c r="Y32" s="304">
        <v>0</v>
      </c>
      <c r="Z32" s="305">
        <v>0</v>
      </c>
      <c r="AA32" s="304"/>
      <c r="AB32" s="305">
        <v>0</v>
      </c>
      <c r="AC32" s="304">
        <v>0</v>
      </c>
      <c r="AD32" s="305">
        <v>0</v>
      </c>
      <c r="AE32" s="304">
        <v>0</v>
      </c>
      <c r="AF32" s="305">
        <v>0</v>
      </c>
      <c r="AG32" s="306"/>
      <c r="AH32" s="307"/>
      <c r="AI32" s="304">
        <v>0</v>
      </c>
      <c r="AJ32" s="305">
        <v>0</v>
      </c>
      <c r="AK32" s="308">
        <v>0</v>
      </c>
      <c r="AL32" s="309">
        <v>0</v>
      </c>
      <c r="AM32" s="304">
        <v>0</v>
      </c>
      <c r="AN32" s="310">
        <v>0</v>
      </c>
      <c r="AO32" s="304">
        <v>0</v>
      </c>
      <c r="AP32" s="310">
        <v>0</v>
      </c>
      <c r="AQ32" s="304">
        <v>0</v>
      </c>
      <c r="AR32" s="310">
        <v>0</v>
      </c>
      <c r="AS32" s="304">
        <v>0</v>
      </c>
      <c r="AT32" s="310">
        <v>0</v>
      </c>
      <c r="AU32" s="304">
        <v>0</v>
      </c>
      <c r="AV32" s="310">
        <v>0</v>
      </c>
      <c r="AW32" s="304">
        <v>0</v>
      </c>
      <c r="AX32" s="310">
        <v>0</v>
      </c>
      <c r="AZ32" s="302"/>
      <c r="BA32" s="311"/>
      <c r="BD32" s="42"/>
      <c r="BH32" t="s">
        <v>180</v>
      </c>
      <c r="BI32" s="22" t="s">
        <v>181</v>
      </c>
      <c r="BJ32" s="58">
        <v>1950</v>
      </c>
      <c r="BL32" s="22" t="s">
        <v>163</v>
      </c>
      <c r="BN32" s="44"/>
      <c r="BP32" s="45"/>
      <c r="BQ32" s="46"/>
      <c r="BZ32">
        <v>0</v>
      </c>
      <c r="CA32">
        <v>0</v>
      </c>
      <c r="CB32" t="b">
        <f t="shared" si="3"/>
        <v>1</v>
      </c>
    </row>
    <row r="33" spans="1:80" ht="15" customHeight="1" x14ac:dyDescent="0.25">
      <c r="A33" s="22">
        <v>503</v>
      </c>
      <c r="B33" s="23" t="s">
        <v>182</v>
      </c>
      <c r="C33" s="22" t="s">
        <v>170</v>
      </c>
      <c r="D33" s="23" t="s">
        <v>85</v>
      </c>
      <c r="E33" s="23" t="s">
        <v>85</v>
      </c>
      <c r="F33" s="22" t="s">
        <v>175</v>
      </c>
      <c r="G33" s="22" t="s">
        <v>163</v>
      </c>
      <c r="H33" s="23" t="s">
        <v>175</v>
      </c>
      <c r="I33" s="24" t="s">
        <v>179</v>
      </c>
      <c r="J33" s="312">
        <v>0</v>
      </c>
      <c r="K33" s="26" t="s">
        <v>94</v>
      </c>
      <c r="L33" s="27">
        <v>0.2</v>
      </c>
      <c r="M33" s="28">
        <v>6</v>
      </c>
      <c r="N33" s="27">
        <f t="shared" si="0"/>
        <v>1.2000000000000002</v>
      </c>
      <c r="O33" s="27">
        <f t="shared" si="1"/>
        <v>0.21134520001935608</v>
      </c>
      <c r="P33" s="28">
        <v>9</v>
      </c>
      <c r="Q33" s="28">
        <v>84</v>
      </c>
      <c r="R33" s="29">
        <f t="shared" si="2"/>
        <v>756</v>
      </c>
      <c r="S33" s="30">
        <v>0.24</v>
      </c>
      <c r="T33" s="30">
        <v>0.14000000000000001</v>
      </c>
      <c r="U33" s="313">
        <v>0</v>
      </c>
      <c r="V33" s="314">
        <v>0</v>
      </c>
      <c r="W33" s="315">
        <v>0</v>
      </c>
      <c r="X33" s="316">
        <v>0</v>
      </c>
      <c r="Y33" s="315">
        <v>0</v>
      </c>
      <c r="Z33" s="316">
        <v>0</v>
      </c>
      <c r="AA33" s="315"/>
      <c r="AB33" s="316">
        <v>0</v>
      </c>
      <c r="AC33" s="315">
        <v>0</v>
      </c>
      <c r="AD33" s="316">
        <v>0</v>
      </c>
      <c r="AE33" s="315">
        <v>0</v>
      </c>
      <c r="AF33" s="316">
        <v>0</v>
      </c>
      <c r="AG33" s="317"/>
      <c r="AH33" s="318"/>
      <c r="AI33" s="315">
        <v>0</v>
      </c>
      <c r="AJ33" s="316">
        <v>0</v>
      </c>
      <c r="AK33" s="319">
        <v>0</v>
      </c>
      <c r="AL33" s="320">
        <v>0</v>
      </c>
      <c r="AM33" s="315">
        <v>0</v>
      </c>
      <c r="AN33" s="321">
        <v>0</v>
      </c>
      <c r="AO33" s="315">
        <v>0</v>
      </c>
      <c r="AP33" s="321">
        <v>0</v>
      </c>
      <c r="AQ33" s="315">
        <v>0</v>
      </c>
      <c r="AR33" s="321">
        <v>0</v>
      </c>
      <c r="AS33" s="315">
        <v>0</v>
      </c>
      <c r="AT33" s="321">
        <v>0</v>
      </c>
      <c r="AU33" s="315">
        <v>0</v>
      </c>
      <c r="AV33" s="321">
        <v>0</v>
      </c>
      <c r="AW33" s="315">
        <v>0</v>
      </c>
      <c r="AX33" s="321">
        <v>0</v>
      </c>
      <c r="AZ33" s="313"/>
      <c r="BA33" s="322"/>
      <c r="BD33" s="42"/>
      <c r="BH33" t="s">
        <v>183</v>
      </c>
      <c r="BI33" s="22" t="s">
        <v>184</v>
      </c>
      <c r="BJ33" s="58">
        <v>1950</v>
      </c>
      <c r="BL33" s="22" t="s">
        <v>163</v>
      </c>
      <c r="BN33" s="44"/>
      <c r="BP33" s="45"/>
      <c r="BQ33" s="46"/>
      <c r="BZ33">
        <v>0</v>
      </c>
      <c r="CA33">
        <v>0</v>
      </c>
      <c r="CB33" t="b">
        <f t="shared" si="3"/>
        <v>1</v>
      </c>
    </row>
    <row r="34" spans="1:80" ht="15" customHeight="1" x14ac:dyDescent="0.25">
      <c r="A34" s="22">
        <v>504</v>
      </c>
      <c r="B34" s="23" t="s">
        <v>185</v>
      </c>
      <c r="C34" s="22" t="s">
        <v>170</v>
      </c>
      <c r="D34" s="23" t="s">
        <v>85</v>
      </c>
      <c r="E34" s="23" t="s">
        <v>85</v>
      </c>
      <c r="F34" s="22" t="s">
        <v>175</v>
      </c>
      <c r="G34" s="22" t="s">
        <v>163</v>
      </c>
      <c r="H34" s="23" t="s">
        <v>175</v>
      </c>
      <c r="I34" s="24" t="s">
        <v>179</v>
      </c>
      <c r="J34" s="323">
        <v>0</v>
      </c>
      <c r="K34" s="26" t="s">
        <v>94</v>
      </c>
      <c r="L34" s="27">
        <v>0.2</v>
      </c>
      <c r="M34" s="28">
        <v>6</v>
      </c>
      <c r="N34" s="27">
        <f t="shared" si="0"/>
        <v>1.2000000000000002</v>
      </c>
      <c r="O34" s="27">
        <f t="shared" si="1"/>
        <v>0.21134520001935608</v>
      </c>
      <c r="P34" s="28">
        <v>9</v>
      </c>
      <c r="Q34" s="28">
        <v>84</v>
      </c>
      <c r="R34" s="29">
        <f t="shared" si="2"/>
        <v>756</v>
      </c>
      <c r="S34" s="30">
        <v>0.24</v>
      </c>
      <c r="T34" s="30">
        <v>0.14000000000000001</v>
      </c>
      <c r="U34" s="324">
        <v>0</v>
      </c>
      <c r="V34" s="325">
        <v>0</v>
      </c>
      <c r="W34" s="326">
        <v>0</v>
      </c>
      <c r="X34" s="327">
        <v>0</v>
      </c>
      <c r="Y34" s="326">
        <v>0</v>
      </c>
      <c r="Z34" s="327">
        <v>0</v>
      </c>
      <c r="AA34" s="326"/>
      <c r="AB34" s="327">
        <v>0</v>
      </c>
      <c r="AC34" s="326">
        <v>0</v>
      </c>
      <c r="AD34" s="327">
        <v>0</v>
      </c>
      <c r="AE34" s="326">
        <v>0</v>
      </c>
      <c r="AF34" s="327">
        <v>0</v>
      </c>
      <c r="AG34" s="328"/>
      <c r="AH34" s="329"/>
      <c r="AI34" s="326">
        <v>0</v>
      </c>
      <c r="AJ34" s="327">
        <v>0</v>
      </c>
      <c r="AK34" s="330">
        <v>0</v>
      </c>
      <c r="AL34" s="331">
        <v>0</v>
      </c>
      <c r="AM34" s="326">
        <v>0</v>
      </c>
      <c r="AN34" s="332">
        <v>0</v>
      </c>
      <c r="AO34" s="326">
        <v>0</v>
      </c>
      <c r="AP34" s="332">
        <v>0</v>
      </c>
      <c r="AQ34" s="326">
        <v>0</v>
      </c>
      <c r="AR34" s="332">
        <v>0</v>
      </c>
      <c r="AS34" s="326">
        <v>0</v>
      </c>
      <c r="AT34" s="332">
        <v>0</v>
      </c>
      <c r="AU34" s="326">
        <v>0</v>
      </c>
      <c r="AV34" s="332">
        <v>0</v>
      </c>
      <c r="AW34" s="326">
        <v>0</v>
      </c>
      <c r="AX34" s="332">
        <v>0</v>
      </c>
      <c r="AZ34" s="324"/>
      <c r="BA34" s="333"/>
      <c r="BD34" s="42"/>
      <c r="BH34" t="s">
        <v>186</v>
      </c>
      <c r="BI34" s="22" t="s">
        <v>187</v>
      </c>
      <c r="BJ34" s="58">
        <v>2000</v>
      </c>
      <c r="BL34" s="22" t="s">
        <v>79</v>
      </c>
      <c r="BN34" s="44"/>
      <c r="BP34" s="45"/>
      <c r="BQ34" s="46"/>
      <c r="BZ34">
        <v>0</v>
      </c>
      <c r="CA34">
        <v>0</v>
      </c>
      <c r="CB34" t="b">
        <f t="shared" si="3"/>
        <v>1</v>
      </c>
    </row>
    <row r="35" spans="1:80" ht="15" customHeight="1" x14ac:dyDescent="0.25">
      <c r="A35" s="22">
        <v>505</v>
      </c>
      <c r="B35" s="23" t="s">
        <v>188</v>
      </c>
      <c r="C35" s="22" t="s">
        <v>170</v>
      </c>
      <c r="D35" s="23" t="s">
        <v>85</v>
      </c>
      <c r="E35" s="23" t="s">
        <v>85</v>
      </c>
      <c r="F35" s="22" t="s">
        <v>175</v>
      </c>
      <c r="G35" s="22" t="s">
        <v>163</v>
      </c>
      <c r="H35" s="23" t="s">
        <v>175</v>
      </c>
      <c r="I35" s="24" t="s">
        <v>179</v>
      </c>
      <c r="J35" s="334">
        <v>0</v>
      </c>
      <c r="K35" s="26" t="s">
        <v>94</v>
      </c>
      <c r="L35" s="27">
        <v>0.2</v>
      </c>
      <c r="M35" s="28">
        <v>6</v>
      </c>
      <c r="N35" s="27">
        <f t="shared" si="0"/>
        <v>1.2000000000000002</v>
      </c>
      <c r="O35" s="27">
        <f t="shared" si="1"/>
        <v>0.21134520001935608</v>
      </c>
      <c r="P35" s="28">
        <v>9</v>
      </c>
      <c r="Q35" s="28">
        <v>84</v>
      </c>
      <c r="R35" s="29">
        <f t="shared" si="2"/>
        <v>756</v>
      </c>
      <c r="S35" s="30">
        <v>0.24</v>
      </c>
      <c r="T35" s="30">
        <v>0.14000000000000001</v>
      </c>
      <c r="U35" s="335">
        <v>0</v>
      </c>
      <c r="V35" s="336">
        <v>0</v>
      </c>
      <c r="W35" s="337">
        <v>0</v>
      </c>
      <c r="X35" s="338">
        <v>0</v>
      </c>
      <c r="Y35" s="337">
        <v>0</v>
      </c>
      <c r="Z35" s="338">
        <v>0</v>
      </c>
      <c r="AA35" s="337"/>
      <c r="AB35" s="338">
        <v>0</v>
      </c>
      <c r="AC35" s="337">
        <v>0</v>
      </c>
      <c r="AD35" s="338">
        <v>0</v>
      </c>
      <c r="AE35" s="337">
        <v>0</v>
      </c>
      <c r="AF35" s="338">
        <v>0</v>
      </c>
      <c r="AG35" s="339"/>
      <c r="AH35" s="340"/>
      <c r="AI35" s="337">
        <v>0</v>
      </c>
      <c r="AJ35" s="338">
        <v>0</v>
      </c>
      <c r="AK35" s="341">
        <v>0</v>
      </c>
      <c r="AL35" s="342">
        <v>0</v>
      </c>
      <c r="AM35" s="337">
        <v>0</v>
      </c>
      <c r="AN35" s="343">
        <v>0</v>
      </c>
      <c r="AO35" s="337">
        <v>0</v>
      </c>
      <c r="AP35" s="343">
        <v>0</v>
      </c>
      <c r="AQ35" s="337">
        <v>0</v>
      </c>
      <c r="AR35" s="343">
        <v>0</v>
      </c>
      <c r="AS35" s="337">
        <v>0</v>
      </c>
      <c r="AT35" s="343">
        <v>0</v>
      </c>
      <c r="AU35" s="337">
        <v>0</v>
      </c>
      <c r="AV35" s="343">
        <v>0</v>
      </c>
      <c r="AW35" s="337">
        <v>0</v>
      </c>
      <c r="AX35" s="343">
        <v>0</v>
      </c>
      <c r="AZ35" s="335"/>
      <c r="BA35" s="344"/>
      <c r="BD35" s="42"/>
      <c r="BH35" t="s">
        <v>189</v>
      </c>
      <c r="BI35" s="22" t="s">
        <v>190</v>
      </c>
      <c r="BJ35" s="58">
        <v>2000</v>
      </c>
      <c r="BL35" s="22" t="s">
        <v>79</v>
      </c>
      <c r="BN35" s="44"/>
      <c r="BP35" s="45"/>
      <c r="BQ35" s="46"/>
      <c r="BZ35">
        <v>0</v>
      </c>
      <c r="CA35">
        <v>0</v>
      </c>
      <c r="CB35" t="b">
        <f t="shared" si="3"/>
        <v>1</v>
      </c>
    </row>
    <row r="36" spans="1:80" ht="15" customHeight="1" x14ac:dyDescent="0.25">
      <c r="A36" s="22">
        <v>509</v>
      </c>
      <c r="B36" s="23" t="s">
        <v>191</v>
      </c>
      <c r="C36" s="22" t="s">
        <v>170</v>
      </c>
      <c r="D36" s="23" t="s">
        <v>85</v>
      </c>
      <c r="E36" s="23" t="s">
        <v>85</v>
      </c>
      <c r="F36" s="22" t="s">
        <v>175</v>
      </c>
      <c r="G36" s="22" t="s">
        <v>163</v>
      </c>
      <c r="H36" s="23" t="s">
        <v>175</v>
      </c>
      <c r="I36" s="24" t="s">
        <v>179</v>
      </c>
      <c r="J36" s="345">
        <v>0</v>
      </c>
      <c r="K36" s="26" t="s">
        <v>94</v>
      </c>
      <c r="L36" s="27">
        <v>0.2</v>
      </c>
      <c r="M36" s="28">
        <v>6</v>
      </c>
      <c r="N36" s="27">
        <f t="shared" si="0"/>
        <v>1.2000000000000002</v>
      </c>
      <c r="O36" s="27">
        <f t="shared" si="1"/>
        <v>0.21134520001935608</v>
      </c>
      <c r="P36" s="28">
        <v>9</v>
      </c>
      <c r="Q36" s="28">
        <v>84</v>
      </c>
      <c r="R36" s="29">
        <f t="shared" si="2"/>
        <v>756</v>
      </c>
      <c r="S36" s="30">
        <v>0.24</v>
      </c>
      <c r="T36" s="30">
        <v>0.14000000000000001</v>
      </c>
      <c r="U36" s="346">
        <v>0</v>
      </c>
      <c r="V36" s="347">
        <v>0</v>
      </c>
      <c r="W36" s="348">
        <v>0</v>
      </c>
      <c r="X36" s="349">
        <v>0</v>
      </c>
      <c r="Y36" s="348">
        <v>0</v>
      </c>
      <c r="Z36" s="349">
        <v>0</v>
      </c>
      <c r="AA36" s="348"/>
      <c r="AB36" s="349">
        <v>0</v>
      </c>
      <c r="AC36" s="348">
        <v>0</v>
      </c>
      <c r="AD36" s="349">
        <v>0</v>
      </c>
      <c r="AE36" s="348">
        <v>0</v>
      </c>
      <c r="AF36" s="349">
        <v>0</v>
      </c>
      <c r="AG36" s="350"/>
      <c r="AH36" s="351"/>
      <c r="AI36" s="348">
        <v>0</v>
      </c>
      <c r="AJ36" s="349">
        <v>0</v>
      </c>
      <c r="AK36" s="352">
        <v>0</v>
      </c>
      <c r="AL36" s="353">
        <v>0</v>
      </c>
      <c r="AM36" s="348">
        <v>0</v>
      </c>
      <c r="AN36" s="354">
        <v>0</v>
      </c>
      <c r="AO36" s="348">
        <v>0</v>
      </c>
      <c r="AP36" s="354">
        <v>0</v>
      </c>
      <c r="AQ36" s="348">
        <v>0</v>
      </c>
      <c r="AR36" s="354">
        <v>0</v>
      </c>
      <c r="AS36" s="348">
        <v>0</v>
      </c>
      <c r="AT36" s="354">
        <v>0</v>
      </c>
      <c r="AU36" s="348">
        <v>0</v>
      </c>
      <c r="AV36" s="354">
        <v>0</v>
      </c>
      <c r="AW36" s="348">
        <v>0</v>
      </c>
      <c r="AX36" s="354">
        <v>0</v>
      </c>
      <c r="AZ36" s="346"/>
      <c r="BA36" s="355"/>
      <c r="BD36" s="42"/>
      <c r="BH36" t="s">
        <v>192</v>
      </c>
      <c r="BI36" s="22" t="s">
        <v>193</v>
      </c>
      <c r="BJ36" s="58">
        <v>2000</v>
      </c>
      <c r="BL36" s="22" t="s">
        <v>79</v>
      </c>
      <c r="BN36" s="44"/>
      <c r="BP36" s="45"/>
      <c r="BQ36" s="46"/>
      <c r="BZ36">
        <v>0</v>
      </c>
      <c r="CA36">
        <v>0</v>
      </c>
      <c r="CB36" t="b">
        <f t="shared" si="3"/>
        <v>1</v>
      </c>
    </row>
    <row r="37" spans="1:80" ht="15" customHeight="1" x14ac:dyDescent="0.25">
      <c r="A37" s="22">
        <v>512</v>
      </c>
      <c r="B37" s="23" t="s">
        <v>194</v>
      </c>
      <c r="C37" s="22" t="s">
        <v>170</v>
      </c>
      <c r="D37" s="23" t="s">
        <v>85</v>
      </c>
      <c r="E37" s="23" t="s">
        <v>85</v>
      </c>
      <c r="F37" s="22" t="s">
        <v>175</v>
      </c>
      <c r="G37" s="22" t="s">
        <v>163</v>
      </c>
      <c r="H37" s="23" t="s">
        <v>175</v>
      </c>
      <c r="I37" s="24" t="s">
        <v>176</v>
      </c>
      <c r="J37" s="356">
        <v>0</v>
      </c>
      <c r="K37" s="26" t="s">
        <v>94</v>
      </c>
      <c r="L37" s="27">
        <v>0.2</v>
      </c>
      <c r="M37" s="28">
        <v>6</v>
      </c>
      <c r="N37" s="27">
        <f t="shared" si="0"/>
        <v>1.2000000000000002</v>
      </c>
      <c r="O37" s="27">
        <f t="shared" si="1"/>
        <v>0.21134520001935608</v>
      </c>
      <c r="P37" s="28">
        <v>9</v>
      </c>
      <c r="Q37" s="28">
        <v>84</v>
      </c>
      <c r="R37" s="29">
        <f t="shared" si="2"/>
        <v>756</v>
      </c>
      <c r="S37" s="30">
        <v>0.24</v>
      </c>
      <c r="T37" s="30">
        <v>0.14000000000000001</v>
      </c>
      <c r="U37" s="357">
        <v>0</v>
      </c>
      <c r="V37" s="358">
        <v>0</v>
      </c>
      <c r="W37" s="359">
        <v>0</v>
      </c>
      <c r="X37" s="360">
        <v>0</v>
      </c>
      <c r="Y37" s="359">
        <v>0</v>
      </c>
      <c r="Z37" s="360">
        <v>0</v>
      </c>
      <c r="AA37" s="359"/>
      <c r="AB37" s="360">
        <v>0</v>
      </c>
      <c r="AC37" s="359">
        <v>0</v>
      </c>
      <c r="AD37" s="360">
        <v>0</v>
      </c>
      <c r="AE37" s="359">
        <v>0</v>
      </c>
      <c r="AF37" s="360">
        <v>0</v>
      </c>
      <c r="AG37" s="361"/>
      <c r="AH37" s="362"/>
      <c r="AI37" s="359">
        <v>0</v>
      </c>
      <c r="AJ37" s="360">
        <v>0</v>
      </c>
      <c r="AK37" s="363">
        <v>0</v>
      </c>
      <c r="AL37" s="364">
        <v>0</v>
      </c>
      <c r="AM37" s="359">
        <v>0</v>
      </c>
      <c r="AN37" s="365">
        <v>0</v>
      </c>
      <c r="AO37" s="359">
        <v>0</v>
      </c>
      <c r="AP37" s="365">
        <v>0</v>
      </c>
      <c r="AQ37" s="359">
        <v>0</v>
      </c>
      <c r="AR37" s="365">
        <v>0</v>
      </c>
      <c r="AS37" s="359">
        <v>0</v>
      </c>
      <c r="AT37" s="365">
        <v>0</v>
      </c>
      <c r="AU37" s="359">
        <v>0</v>
      </c>
      <c r="AV37" s="365">
        <v>0</v>
      </c>
      <c r="AW37" s="359">
        <v>0</v>
      </c>
      <c r="AX37" s="365">
        <v>0</v>
      </c>
      <c r="AZ37" s="357"/>
      <c r="BA37" s="366"/>
      <c r="BD37" s="42"/>
      <c r="BH37" t="s">
        <v>195</v>
      </c>
      <c r="BI37" s="22" t="s">
        <v>139</v>
      </c>
      <c r="BJ37" s="58">
        <v>2000</v>
      </c>
      <c r="BL37" s="22" t="s">
        <v>79</v>
      </c>
      <c r="BN37" s="44"/>
      <c r="BP37" s="45"/>
      <c r="BQ37" s="46"/>
      <c r="BZ37">
        <v>0</v>
      </c>
      <c r="CA37">
        <v>0</v>
      </c>
      <c r="CB37" t="b">
        <f t="shared" si="3"/>
        <v>1</v>
      </c>
    </row>
    <row r="38" spans="1:80" ht="15" customHeight="1" x14ac:dyDescent="0.25">
      <c r="A38" s="22">
        <v>523</v>
      </c>
      <c r="B38" s="23" t="s">
        <v>196</v>
      </c>
      <c r="C38" s="22" t="s">
        <v>170</v>
      </c>
      <c r="D38" s="23" t="s">
        <v>85</v>
      </c>
      <c r="E38" s="23" t="s">
        <v>85</v>
      </c>
      <c r="F38" s="22" t="s">
        <v>171</v>
      </c>
      <c r="G38" s="22" t="s">
        <v>79</v>
      </c>
      <c r="H38" s="23" t="s">
        <v>171</v>
      </c>
      <c r="I38" s="24" t="s">
        <v>197</v>
      </c>
      <c r="J38" s="367">
        <v>0</v>
      </c>
      <c r="K38" s="26" t="s">
        <v>94</v>
      </c>
      <c r="L38" s="27">
        <v>1</v>
      </c>
      <c r="M38" s="28">
        <v>8</v>
      </c>
      <c r="N38" s="27">
        <f t="shared" si="0"/>
        <v>8</v>
      </c>
      <c r="O38" s="27">
        <f t="shared" si="1"/>
        <v>1.4089680001290403</v>
      </c>
      <c r="P38" s="28">
        <v>5</v>
      </c>
      <c r="Q38" s="28">
        <v>21</v>
      </c>
      <c r="R38" s="29">
        <f t="shared" si="2"/>
        <v>105</v>
      </c>
      <c r="S38" s="30">
        <v>0.24</v>
      </c>
      <c r="T38" s="30">
        <v>0.14000000000000001</v>
      </c>
      <c r="U38" s="368">
        <v>0</v>
      </c>
      <c r="V38" s="369">
        <v>0</v>
      </c>
      <c r="W38" s="370">
        <v>0</v>
      </c>
      <c r="X38" s="371">
        <v>0</v>
      </c>
      <c r="Y38" s="370">
        <v>0</v>
      </c>
      <c r="Z38" s="371">
        <v>0</v>
      </c>
      <c r="AA38" s="370"/>
      <c r="AB38" s="371">
        <v>0</v>
      </c>
      <c r="AC38" s="370">
        <v>0</v>
      </c>
      <c r="AD38" s="371">
        <v>0</v>
      </c>
      <c r="AE38" s="370">
        <v>0</v>
      </c>
      <c r="AF38" s="371">
        <v>0</v>
      </c>
      <c r="AG38" s="372"/>
      <c r="AH38" s="373"/>
      <c r="AI38" s="370">
        <v>0</v>
      </c>
      <c r="AJ38" s="371">
        <v>0</v>
      </c>
      <c r="AK38" s="374">
        <v>0</v>
      </c>
      <c r="AL38" s="375">
        <v>0</v>
      </c>
      <c r="AM38" s="370">
        <v>0</v>
      </c>
      <c r="AN38" s="376">
        <v>0</v>
      </c>
      <c r="AO38" s="370">
        <v>0</v>
      </c>
      <c r="AP38" s="376">
        <v>0</v>
      </c>
      <c r="AQ38" s="370">
        <v>0</v>
      </c>
      <c r="AR38" s="376">
        <v>0</v>
      </c>
      <c r="AS38" s="370">
        <v>0</v>
      </c>
      <c r="AT38" s="376">
        <v>0</v>
      </c>
      <c r="AU38" s="370">
        <v>0</v>
      </c>
      <c r="AV38" s="376">
        <v>0</v>
      </c>
      <c r="AW38" s="370">
        <v>0</v>
      </c>
      <c r="AX38" s="376">
        <v>0</v>
      </c>
      <c r="AZ38" s="368"/>
      <c r="BA38" s="377"/>
      <c r="BD38" s="42"/>
      <c r="BH38" t="s">
        <v>198</v>
      </c>
      <c r="BI38" s="22" t="s">
        <v>199</v>
      </c>
      <c r="BJ38" s="58">
        <v>1891.7</v>
      </c>
      <c r="BL38" s="22" t="s">
        <v>79</v>
      </c>
      <c r="BN38" s="44"/>
      <c r="BP38" s="45"/>
      <c r="BQ38" s="46"/>
      <c r="BZ38">
        <v>0</v>
      </c>
      <c r="CA38">
        <v>0</v>
      </c>
      <c r="CB38" t="b">
        <f t="shared" si="3"/>
        <v>1</v>
      </c>
    </row>
    <row r="39" spans="1:80" ht="15" customHeight="1" x14ac:dyDescent="0.25">
      <c r="A39" s="22">
        <v>524</v>
      </c>
      <c r="B39" s="23" t="s">
        <v>200</v>
      </c>
      <c r="C39" s="22" t="s">
        <v>170</v>
      </c>
      <c r="D39" s="23" t="s">
        <v>85</v>
      </c>
      <c r="E39" s="23" t="s">
        <v>85</v>
      </c>
      <c r="F39" s="22" t="s">
        <v>171</v>
      </c>
      <c r="G39" s="22" t="s">
        <v>79</v>
      </c>
      <c r="H39" s="23" t="s">
        <v>171</v>
      </c>
      <c r="I39" s="24" t="s">
        <v>201</v>
      </c>
      <c r="J39" s="378">
        <v>0</v>
      </c>
      <c r="K39" s="26" t="s">
        <v>94</v>
      </c>
      <c r="L39" s="27">
        <v>1</v>
      </c>
      <c r="M39" s="28">
        <v>8</v>
      </c>
      <c r="N39" s="27">
        <f t="shared" si="0"/>
        <v>8</v>
      </c>
      <c r="O39" s="27">
        <f t="shared" si="1"/>
        <v>1.4089680001290403</v>
      </c>
      <c r="P39" s="28">
        <v>5</v>
      </c>
      <c r="Q39" s="28">
        <v>21</v>
      </c>
      <c r="R39" s="29">
        <f t="shared" si="2"/>
        <v>105</v>
      </c>
      <c r="S39" s="30">
        <v>0.24</v>
      </c>
      <c r="T39" s="30">
        <v>0.14000000000000001</v>
      </c>
      <c r="U39" s="379">
        <v>0</v>
      </c>
      <c r="V39" s="380">
        <v>0</v>
      </c>
      <c r="W39" s="381">
        <v>0</v>
      </c>
      <c r="X39" s="382">
        <v>0</v>
      </c>
      <c r="Y39" s="381">
        <v>0</v>
      </c>
      <c r="Z39" s="382">
        <v>0</v>
      </c>
      <c r="AA39" s="381"/>
      <c r="AB39" s="382">
        <v>0</v>
      </c>
      <c r="AC39" s="381">
        <v>0</v>
      </c>
      <c r="AD39" s="382">
        <v>0</v>
      </c>
      <c r="AE39" s="381">
        <v>0</v>
      </c>
      <c r="AF39" s="382">
        <v>0</v>
      </c>
      <c r="AG39" s="383"/>
      <c r="AH39" s="384"/>
      <c r="AI39" s="381">
        <v>0</v>
      </c>
      <c r="AJ39" s="382">
        <v>0</v>
      </c>
      <c r="AK39" s="385">
        <v>0</v>
      </c>
      <c r="AL39" s="386">
        <v>0</v>
      </c>
      <c r="AM39" s="381">
        <v>0</v>
      </c>
      <c r="AN39" s="387">
        <v>0</v>
      </c>
      <c r="AO39" s="381">
        <v>0</v>
      </c>
      <c r="AP39" s="387">
        <v>0</v>
      </c>
      <c r="AQ39" s="381">
        <v>0</v>
      </c>
      <c r="AR39" s="387">
        <v>0</v>
      </c>
      <c r="AS39" s="381">
        <v>0</v>
      </c>
      <c r="AT39" s="387">
        <v>0</v>
      </c>
      <c r="AU39" s="381">
        <v>0</v>
      </c>
      <c r="AV39" s="387">
        <v>0</v>
      </c>
      <c r="AW39" s="381">
        <v>0</v>
      </c>
      <c r="AX39" s="387">
        <v>0</v>
      </c>
      <c r="AZ39" s="379"/>
      <c r="BA39" s="388"/>
      <c r="BD39" s="42"/>
      <c r="BI39" s="22" t="s">
        <v>202</v>
      </c>
      <c r="BJ39" s="58">
        <v>7520</v>
      </c>
      <c r="BL39" s="22" t="s">
        <v>79</v>
      </c>
      <c r="BN39" s="44"/>
      <c r="BP39" s="45"/>
      <c r="BQ39" s="46"/>
      <c r="BZ39">
        <v>0</v>
      </c>
      <c r="CA39">
        <v>0</v>
      </c>
      <c r="CB39" t="b">
        <f t="shared" si="3"/>
        <v>1</v>
      </c>
    </row>
    <row r="40" spans="1:80" ht="15" customHeight="1" x14ac:dyDescent="0.25">
      <c r="A40" s="22">
        <v>525</v>
      </c>
      <c r="B40" s="23" t="s">
        <v>203</v>
      </c>
      <c r="C40" s="22" t="s">
        <v>170</v>
      </c>
      <c r="D40" s="23" t="s">
        <v>85</v>
      </c>
      <c r="E40" s="23" t="s">
        <v>85</v>
      </c>
      <c r="F40" s="22" t="s">
        <v>171</v>
      </c>
      <c r="G40" s="22" t="s">
        <v>79</v>
      </c>
      <c r="H40" s="23" t="s">
        <v>171</v>
      </c>
      <c r="I40" s="24" t="s">
        <v>201</v>
      </c>
      <c r="J40" s="389">
        <v>0</v>
      </c>
      <c r="K40" s="26" t="s">
        <v>94</v>
      </c>
      <c r="L40" s="27">
        <v>1</v>
      </c>
      <c r="M40" s="28">
        <v>8</v>
      </c>
      <c r="N40" s="27">
        <f t="shared" si="0"/>
        <v>8</v>
      </c>
      <c r="O40" s="27">
        <f t="shared" si="1"/>
        <v>1.4089680001290403</v>
      </c>
      <c r="P40" s="28">
        <v>5</v>
      </c>
      <c r="Q40" s="28">
        <v>21</v>
      </c>
      <c r="R40" s="29">
        <f t="shared" si="2"/>
        <v>105</v>
      </c>
      <c r="S40" s="30">
        <v>0.24</v>
      </c>
      <c r="T40" s="30">
        <v>0.14000000000000001</v>
      </c>
      <c r="U40" s="390">
        <v>0</v>
      </c>
      <c r="V40" s="391">
        <v>0</v>
      </c>
      <c r="W40" s="392">
        <v>0</v>
      </c>
      <c r="X40" s="393">
        <v>0</v>
      </c>
      <c r="Y40" s="392">
        <v>0</v>
      </c>
      <c r="Z40" s="393">
        <v>0</v>
      </c>
      <c r="AA40" s="392"/>
      <c r="AB40" s="393">
        <v>0</v>
      </c>
      <c r="AC40" s="392">
        <v>0</v>
      </c>
      <c r="AD40" s="393">
        <v>0</v>
      </c>
      <c r="AE40" s="392">
        <v>0</v>
      </c>
      <c r="AF40" s="393">
        <v>0</v>
      </c>
      <c r="AG40" s="394"/>
      <c r="AH40" s="395"/>
      <c r="AI40" s="392">
        <v>0</v>
      </c>
      <c r="AJ40" s="393">
        <v>0</v>
      </c>
      <c r="AK40" s="396">
        <v>0</v>
      </c>
      <c r="AL40" s="397">
        <v>0</v>
      </c>
      <c r="AM40" s="392">
        <v>0</v>
      </c>
      <c r="AN40" s="398">
        <v>0</v>
      </c>
      <c r="AO40" s="392">
        <v>0</v>
      </c>
      <c r="AP40" s="398">
        <v>0</v>
      </c>
      <c r="AQ40" s="392">
        <v>0</v>
      </c>
      <c r="AR40" s="398">
        <v>0</v>
      </c>
      <c r="AS40" s="392">
        <v>0</v>
      </c>
      <c r="AT40" s="398">
        <v>0</v>
      </c>
      <c r="AU40" s="392">
        <v>0</v>
      </c>
      <c r="AV40" s="398">
        <v>0</v>
      </c>
      <c r="AW40" s="392">
        <v>0</v>
      </c>
      <c r="AX40" s="398">
        <v>0</v>
      </c>
      <c r="AZ40" s="390"/>
      <c r="BA40" s="399"/>
      <c r="BD40" s="42"/>
      <c r="BI40" s="22" t="s">
        <v>204</v>
      </c>
      <c r="BJ40" s="58">
        <v>0</v>
      </c>
      <c r="BL40" s="22" t="s">
        <v>79</v>
      </c>
      <c r="BN40" s="44"/>
      <c r="BP40" s="45"/>
      <c r="BQ40" s="46"/>
      <c r="BZ40">
        <v>0</v>
      </c>
      <c r="CA40">
        <v>0</v>
      </c>
      <c r="CB40" t="b">
        <f t="shared" si="3"/>
        <v>1</v>
      </c>
    </row>
    <row r="41" spans="1:80" ht="15" customHeight="1" x14ac:dyDescent="0.25">
      <c r="A41" s="22">
        <v>590</v>
      </c>
      <c r="B41" s="23" t="s">
        <v>205</v>
      </c>
      <c r="C41" s="22" t="s">
        <v>170</v>
      </c>
      <c r="D41" s="23" t="s">
        <v>85</v>
      </c>
      <c r="E41" s="23" t="s">
        <v>85</v>
      </c>
      <c r="F41" s="22" t="s">
        <v>171</v>
      </c>
      <c r="G41" s="22" t="s">
        <v>79</v>
      </c>
      <c r="H41" s="23" t="s">
        <v>171</v>
      </c>
      <c r="I41" s="24" t="s">
        <v>197</v>
      </c>
      <c r="J41" s="400">
        <v>0</v>
      </c>
      <c r="K41" s="26" t="s">
        <v>94</v>
      </c>
      <c r="L41" s="27">
        <v>1</v>
      </c>
      <c r="M41" s="28">
        <v>8</v>
      </c>
      <c r="N41" s="27">
        <f t="shared" si="0"/>
        <v>8</v>
      </c>
      <c r="O41" s="27">
        <f t="shared" si="1"/>
        <v>1.4089680001290403</v>
      </c>
      <c r="P41" s="28">
        <v>5</v>
      </c>
      <c r="Q41" s="28">
        <v>21</v>
      </c>
      <c r="R41" s="29">
        <f t="shared" si="2"/>
        <v>105</v>
      </c>
      <c r="S41" s="30">
        <v>0.24</v>
      </c>
      <c r="T41" s="30">
        <v>0.14000000000000001</v>
      </c>
      <c r="U41" s="401">
        <v>0</v>
      </c>
      <c r="V41" s="402">
        <v>0</v>
      </c>
      <c r="W41" s="403">
        <v>0</v>
      </c>
      <c r="X41" s="404">
        <v>0</v>
      </c>
      <c r="Y41" s="403">
        <v>0</v>
      </c>
      <c r="Z41" s="404">
        <v>0</v>
      </c>
      <c r="AA41" s="403"/>
      <c r="AB41" s="404">
        <v>0</v>
      </c>
      <c r="AC41" s="403">
        <v>0</v>
      </c>
      <c r="AD41" s="404">
        <v>0</v>
      </c>
      <c r="AE41" s="403">
        <v>0</v>
      </c>
      <c r="AF41" s="404">
        <v>0</v>
      </c>
      <c r="AG41" s="405"/>
      <c r="AH41" s="406"/>
      <c r="AI41" s="403">
        <v>0</v>
      </c>
      <c r="AJ41" s="404">
        <v>0</v>
      </c>
      <c r="AK41" s="407">
        <v>0</v>
      </c>
      <c r="AL41" s="408">
        <v>0</v>
      </c>
      <c r="AM41" s="403">
        <v>0</v>
      </c>
      <c r="AN41" s="409">
        <v>0</v>
      </c>
      <c r="AO41" s="403">
        <v>0</v>
      </c>
      <c r="AP41" s="409">
        <v>0</v>
      </c>
      <c r="AQ41" s="403">
        <v>0</v>
      </c>
      <c r="AR41" s="409">
        <v>0</v>
      </c>
      <c r="AS41" s="403">
        <v>0</v>
      </c>
      <c r="AT41" s="409">
        <v>0</v>
      </c>
      <c r="AU41" s="403">
        <v>0</v>
      </c>
      <c r="AV41" s="409">
        <v>0</v>
      </c>
      <c r="AW41" s="403">
        <v>0</v>
      </c>
      <c r="AX41" s="409">
        <v>0</v>
      </c>
      <c r="AZ41" s="401"/>
      <c r="BA41" s="410"/>
      <c r="BD41" s="42"/>
      <c r="BI41" s="22" t="s">
        <v>206</v>
      </c>
      <c r="BJ41" s="58">
        <v>2000</v>
      </c>
      <c r="BL41" s="22" t="s">
        <v>79</v>
      </c>
      <c r="BN41" s="44"/>
      <c r="BP41" s="45"/>
      <c r="BQ41" s="46"/>
      <c r="BZ41">
        <v>0</v>
      </c>
      <c r="CA41">
        <v>0</v>
      </c>
      <c r="CB41" t="b">
        <f t="shared" si="3"/>
        <v>1</v>
      </c>
    </row>
    <row r="42" spans="1:80" ht="15" customHeight="1" x14ac:dyDescent="0.25">
      <c r="A42" s="22">
        <v>591</v>
      </c>
      <c r="B42" s="23" t="s">
        <v>207</v>
      </c>
      <c r="C42" s="22" t="s">
        <v>170</v>
      </c>
      <c r="D42" s="23" t="s">
        <v>85</v>
      </c>
      <c r="E42" s="23" t="s">
        <v>85</v>
      </c>
      <c r="F42" s="22" t="s">
        <v>171</v>
      </c>
      <c r="G42" s="22" t="s">
        <v>79</v>
      </c>
      <c r="H42" s="23" t="s">
        <v>171</v>
      </c>
      <c r="I42" s="24" t="s">
        <v>197</v>
      </c>
      <c r="J42" s="411">
        <v>0</v>
      </c>
      <c r="K42" s="26" t="s">
        <v>94</v>
      </c>
      <c r="L42" s="27">
        <v>1</v>
      </c>
      <c r="M42" s="28">
        <v>8</v>
      </c>
      <c r="N42" s="27">
        <f t="shared" si="0"/>
        <v>8</v>
      </c>
      <c r="O42" s="27">
        <f t="shared" si="1"/>
        <v>1.4089680001290403</v>
      </c>
      <c r="P42" s="28">
        <v>5</v>
      </c>
      <c r="Q42" s="28">
        <v>21</v>
      </c>
      <c r="R42" s="29">
        <f t="shared" si="2"/>
        <v>105</v>
      </c>
      <c r="S42" s="30">
        <v>0.24</v>
      </c>
      <c r="T42" s="30">
        <v>0.14000000000000001</v>
      </c>
      <c r="U42" s="412">
        <v>0</v>
      </c>
      <c r="V42" s="413">
        <v>0</v>
      </c>
      <c r="W42" s="414">
        <v>0</v>
      </c>
      <c r="X42" s="415">
        <v>0</v>
      </c>
      <c r="Y42" s="414">
        <v>0</v>
      </c>
      <c r="Z42" s="415">
        <v>0</v>
      </c>
      <c r="AA42" s="414"/>
      <c r="AB42" s="415">
        <v>0</v>
      </c>
      <c r="AC42" s="414">
        <v>0</v>
      </c>
      <c r="AD42" s="415">
        <v>0</v>
      </c>
      <c r="AE42" s="414">
        <v>0</v>
      </c>
      <c r="AF42" s="415">
        <v>0</v>
      </c>
      <c r="AG42" s="416"/>
      <c r="AH42" s="417"/>
      <c r="AI42" s="414">
        <v>0</v>
      </c>
      <c r="AJ42" s="415">
        <v>0</v>
      </c>
      <c r="AK42" s="418">
        <v>0</v>
      </c>
      <c r="AL42" s="419">
        <v>0</v>
      </c>
      <c r="AM42" s="414">
        <v>0</v>
      </c>
      <c r="AN42" s="420">
        <v>0</v>
      </c>
      <c r="AO42" s="414">
        <v>0</v>
      </c>
      <c r="AP42" s="420">
        <v>0</v>
      </c>
      <c r="AQ42" s="414">
        <v>0</v>
      </c>
      <c r="AR42" s="420">
        <v>0</v>
      </c>
      <c r="AS42" s="414">
        <v>0</v>
      </c>
      <c r="AT42" s="420">
        <v>0</v>
      </c>
      <c r="AU42" s="414">
        <v>0</v>
      </c>
      <c r="AV42" s="420">
        <v>0</v>
      </c>
      <c r="AW42" s="414">
        <v>0</v>
      </c>
      <c r="AX42" s="420">
        <v>0</v>
      </c>
      <c r="AZ42" s="412"/>
      <c r="BA42" s="421"/>
      <c r="BD42" s="42"/>
      <c r="BI42" s="22" t="s">
        <v>208</v>
      </c>
      <c r="BJ42" s="58">
        <v>2000</v>
      </c>
      <c r="BL42" s="22" t="s">
        <v>79</v>
      </c>
      <c r="BN42" s="44"/>
      <c r="BP42" s="45"/>
      <c r="BQ42" s="46"/>
      <c r="BZ42">
        <v>0</v>
      </c>
      <c r="CA42">
        <v>0</v>
      </c>
      <c r="CB42" t="b">
        <f t="shared" si="3"/>
        <v>1</v>
      </c>
    </row>
    <row r="43" spans="1:80" ht="15" customHeight="1" x14ac:dyDescent="0.25">
      <c r="A43" s="22">
        <v>592</v>
      </c>
      <c r="B43" s="23" t="s">
        <v>209</v>
      </c>
      <c r="C43" s="22" t="s">
        <v>170</v>
      </c>
      <c r="D43" s="23" t="s">
        <v>85</v>
      </c>
      <c r="E43" s="23" t="s">
        <v>85</v>
      </c>
      <c r="F43" s="22" t="s">
        <v>171</v>
      </c>
      <c r="G43" s="22" t="s">
        <v>79</v>
      </c>
      <c r="H43" s="23" t="s">
        <v>171</v>
      </c>
      <c r="I43" s="24" t="s">
        <v>172</v>
      </c>
      <c r="J43" s="422">
        <v>0</v>
      </c>
      <c r="K43" s="26" t="s">
        <v>94</v>
      </c>
      <c r="L43" s="27">
        <v>1</v>
      </c>
      <c r="M43" s="28">
        <v>8</v>
      </c>
      <c r="N43" s="27">
        <f t="shared" si="0"/>
        <v>8</v>
      </c>
      <c r="O43" s="27">
        <f t="shared" si="1"/>
        <v>1.4089680001290403</v>
      </c>
      <c r="P43" s="28">
        <v>5</v>
      </c>
      <c r="Q43" s="28">
        <v>21</v>
      </c>
      <c r="R43" s="29">
        <f t="shared" si="2"/>
        <v>105</v>
      </c>
      <c r="S43" s="30">
        <v>0.24</v>
      </c>
      <c r="T43" s="30">
        <v>0.14000000000000001</v>
      </c>
      <c r="U43" s="423">
        <v>0</v>
      </c>
      <c r="V43" s="424">
        <v>0</v>
      </c>
      <c r="W43" s="425">
        <v>0</v>
      </c>
      <c r="X43" s="426">
        <v>0</v>
      </c>
      <c r="Y43" s="425">
        <v>0</v>
      </c>
      <c r="Z43" s="426">
        <v>0</v>
      </c>
      <c r="AA43" s="425"/>
      <c r="AB43" s="426">
        <v>0</v>
      </c>
      <c r="AC43" s="425">
        <v>0</v>
      </c>
      <c r="AD43" s="426">
        <v>0</v>
      </c>
      <c r="AE43" s="425">
        <v>0</v>
      </c>
      <c r="AF43" s="426">
        <v>0</v>
      </c>
      <c r="AG43" s="427"/>
      <c r="AH43" s="428"/>
      <c r="AI43" s="425">
        <v>0</v>
      </c>
      <c r="AJ43" s="426">
        <v>0</v>
      </c>
      <c r="AK43" s="429">
        <v>0</v>
      </c>
      <c r="AL43" s="430">
        <v>0</v>
      </c>
      <c r="AM43" s="425">
        <v>0</v>
      </c>
      <c r="AN43" s="431">
        <v>0</v>
      </c>
      <c r="AO43" s="425">
        <v>0</v>
      </c>
      <c r="AP43" s="431">
        <v>0</v>
      </c>
      <c r="AQ43" s="425">
        <v>0</v>
      </c>
      <c r="AR43" s="431">
        <v>0</v>
      </c>
      <c r="AS43" s="425">
        <v>0</v>
      </c>
      <c r="AT43" s="431">
        <v>0</v>
      </c>
      <c r="AU43" s="425">
        <v>0</v>
      </c>
      <c r="AV43" s="431">
        <v>0</v>
      </c>
      <c r="AW43" s="425">
        <v>0</v>
      </c>
      <c r="AX43" s="431">
        <v>0</v>
      </c>
      <c r="AZ43" s="423"/>
      <c r="BA43" s="432"/>
      <c r="BD43" s="42"/>
      <c r="BI43" s="22" t="s">
        <v>210</v>
      </c>
      <c r="BJ43" s="58">
        <v>2000</v>
      </c>
      <c r="BL43" s="22" t="s">
        <v>86</v>
      </c>
      <c r="BN43" s="44"/>
      <c r="BP43" s="45"/>
      <c r="BQ43" s="46"/>
      <c r="BZ43">
        <v>0</v>
      </c>
      <c r="CA43">
        <v>0</v>
      </c>
      <c r="CB43" t="b">
        <f t="shared" si="3"/>
        <v>1</v>
      </c>
    </row>
    <row r="44" spans="1:80" ht="15" customHeight="1" x14ac:dyDescent="0.25">
      <c r="A44" s="22">
        <v>593</v>
      </c>
      <c r="B44" s="23" t="s">
        <v>211</v>
      </c>
      <c r="C44" s="22" t="s">
        <v>170</v>
      </c>
      <c r="D44" s="23" t="s">
        <v>85</v>
      </c>
      <c r="E44" s="23" t="s">
        <v>85</v>
      </c>
      <c r="F44" s="22" t="s">
        <v>171</v>
      </c>
      <c r="G44" s="22" t="s">
        <v>79</v>
      </c>
      <c r="H44" s="23" t="s">
        <v>171</v>
      </c>
      <c r="I44" s="24" t="s">
        <v>172</v>
      </c>
      <c r="J44" s="433">
        <v>0</v>
      </c>
      <c r="K44" s="26" t="s">
        <v>94</v>
      </c>
      <c r="L44" s="27">
        <v>1</v>
      </c>
      <c r="M44" s="28">
        <v>8</v>
      </c>
      <c r="N44" s="27">
        <f t="shared" si="0"/>
        <v>8</v>
      </c>
      <c r="O44" s="27">
        <f t="shared" si="1"/>
        <v>1.4089680001290403</v>
      </c>
      <c r="P44" s="28">
        <v>5</v>
      </c>
      <c r="Q44" s="28">
        <v>21</v>
      </c>
      <c r="R44" s="29">
        <f t="shared" si="2"/>
        <v>105</v>
      </c>
      <c r="S44" s="30">
        <v>0.24</v>
      </c>
      <c r="T44" s="30">
        <v>0.14000000000000001</v>
      </c>
      <c r="U44" s="434">
        <v>0</v>
      </c>
      <c r="V44" s="435">
        <v>0</v>
      </c>
      <c r="W44" s="436">
        <v>0</v>
      </c>
      <c r="X44" s="437">
        <v>0</v>
      </c>
      <c r="Y44" s="436">
        <v>0</v>
      </c>
      <c r="Z44" s="437">
        <v>0</v>
      </c>
      <c r="AA44" s="436"/>
      <c r="AB44" s="437">
        <v>0</v>
      </c>
      <c r="AC44" s="436">
        <v>0</v>
      </c>
      <c r="AD44" s="437">
        <v>0</v>
      </c>
      <c r="AE44" s="436">
        <v>0</v>
      </c>
      <c r="AF44" s="437">
        <v>0</v>
      </c>
      <c r="AG44" s="438"/>
      <c r="AH44" s="439"/>
      <c r="AI44" s="436">
        <v>0</v>
      </c>
      <c r="AJ44" s="437">
        <v>0</v>
      </c>
      <c r="AK44" s="440">
        <v>0</v>
      </c>
      <c r="AL44" s="441">
        <v>0</v>
      </c>
      <c r="AM44" s="436">
        <v>0</v>
      </c>
      <c r="AN44" s="442">
        <v>0</v>
      </c>
      <c r="AO44" s="436">
        <v>0</v>
      </c>
      <c r="AP44" s="442">
        <v>0</v>
      </c>
      <c r="AQ44" s="436">
        <v>0</v>
      </c>
      <c r="AR44" s="442">
        <v>0</v>
      </c>
      <c r="AS44" s="436">
        <v>0</v>
      </c>
      <c r="AT44" s="442">
        <v>0</v>
      </c>
      <c r="AU44" s="436">
        <v>0</v>
      </c>
      <c r="AV44" s="442">
        <v>0</v>
      </c>
      <c r="AW44" s="436">
        <v>0</v>
      </c>
      <c r="AX44" s="442">
        <v>0</v>
      </c>
      <c r="AZ44" s="434"/>
      <c r="BA44" s="443"/>
      <c r="BD44" s="42"/>
      <c r="BI44" s="22" t="s">
        <v>212</v>
      </c>
      <c r="BJ44" s="58">
        <v>2000</v>
      </c>
      <c r="BL44" s="22" t="s">
        <v>91</v>
      </c>
      <c r="BN44" s="44"/>
      <c r="BP44" s="45"/>
      <c r="BQ44" s="46"/>
      <c r="BZ44">
        <v>0</v>
      </c>
      <c r="CA44">
        <v>0</v>
      </c>
      <c r="CB44" t="b">
        <f t="shared" si="3"/>
        <v>1</v>
      </c>
    </row>
    <row r="45" spans="1:80" ht="15" customHeight="1" x14ac:dyDescent="0.25">
      <c r="A45" s="22">
        <v>594</v>
      </c>
      <c r="B45" s="23" t="s">
        <v>213</v>
      </c>
      <c r="C45" s="22" t="s">
        <v>170</v>
      </c>
      <c r="D45" s="23" t="s">
        <v>85</v>
      </c>
      <c r="E45" s="23" t="s">
        <v>85</v>
      </c>
      <c r="F45" s="22" t="s">
        <v>171</v>
      </c>
      <c r="G45" s="22" t="s">
        <v>79</v>
      </c>
      <c r="H45" s="23" t="s">
        <v>171</v>
      </c>
      <c r="I45" s="24" t="s">
        <v>172</v>
      </c>
      <c r="J45" s="444">
        <v>0</v>
      </c>
      <c r="K45" s="26" t="s">
        <v>94</v>
      </c>
      <c r="L45" s="27">
        <v>1</v>
      </c>
      <c r="M45" s="28">
        <v>8</v>
      </c>
      <c r="N45" s="27">
        <f t="shared" si="0"/>
        <v>8</v>
      </c>
      <c r="O45" s="27">
        <f t="shared" si="1"/>
        <v>1.4089680001290403</v>
      </c>
      <c r="P45" s="28">
        <v>5</v>
      </c>
      <c r="Q45" s="28">
        <v>21</v>
      </c>
      <c r="R45" s="29">
        <f t="shared" si="2"/>
        <v>105</v>
      </c>
      <c r="S45" s="30">
        <v>0.24</v>
      </c>
      <c r="T45" s="30">
        <v>0.14000000000000001</v>
      </c>
      <c r="U45" s="445">
        <v>0</v>
      </c>
      <c r="V45" s="446">
        <v>0</v>
      </c>
      <c r="W45" s="447">
        <v>0</v>
      </c>
      <c r="X45" s="448">
        <v>0</v>
      </c>
      <c r="Y45" s="447">
        <v>0</v>
      </c>
      <c r="Z45" s="448">
        <v>0</v>
      </c>
      <c r="AA45" s="447"/>
      <c r="AB45" s="448">
        <v>0</v>
      </c>
      <c r="AC45" s="447">
        <v>0</v>
      </c>
      <c r="AD45" s="448">
        <v>0</v>
      </c>
      <c r="AE45" s="447">
        <v>0</v>
      </c>
      <c r="AF45" s="448">
        <v>0</v>
      </c>
      <c r="AG45" s="449"/>
      <c r="AH45" s="450"/>
      <c r="AI45" s="447">
        <v>0</v>
      </c>
      <c r="AJ45" s="448">
        <v>0</v>
      </c>
      <c r="AK45" s="451">
        <v>0</v>
      </c>
      <c r="AL45" s="452">
        <v>0</v>
      </c>
      <c r="AM45" s="447">
        <v>0</v>
      </c>
      <c r="AN45" s="453">
        <v>0</v>
      </c>
      <c r="AO45" s="447">
        <v>0</v>
      </c>
      <c r="AP45" s="453">
        <v>0</v>
      </c>
      <c r="AQ45" s="447">
        <v>0</v>
      </c>
      <c r="AR45" s="453">
        <v>0</v>
      </c>
      <c r="AS45" s="447">
        <v>0</v>
      </c>
      <c r="AT45" s="453">
        <v>0</v>
      </c>
      <c r="AU45" s="447">
        <v>0</v>
      </c>
      <c r="AV45" s="453">
        <v>0</v>
      </c>
      <c r="AW45" s="447">
        <v>0</v>
      </c>
      <c r="AX45" s="453">
        <v>0</v>
      </c>
      <c r="AZ45" s="445"/>
      <c r="BA45" s="454"/>
      <c r="BD45" s="42"/>
      <c r="BI45" s="22" t="s">
        <v>214</v>
      </c>
      <c r="BJ45" s="58">
        <v>2000</v>
      </c>
      <c r="BL45" s="22" t="s">
        <v>97</v>
      </c>
      <c r="BN45" s="44"/>
      <c r="BP45" s="45"/>
      <c r="BQ45" s="46"/>
      <c r="BZ45">
        <v>0</v>
      </c>
      <c r="CA45">
        <v>0</v>
      </c>
      <c r="CB45" t="b">
        <f t="shared" si="3"/>
        <v>1</v>
      </c>
    </row>
    <row r="46" spans="1:80" ht="15" customHeight="1" x14ac:dyDescent="0.25">
      <c r="A46" s="22">
        <v>595</v>
      </c>
      <c r="B46" s="23" t="s">
        <v>215</v>
      </c>
      <c r="C46" s="22" t="s">
        <v>170</v>
      </c>
      <c r="D46" s="23" t="s">
        <v>85</v>
      </c>
      <c r="E46" s="23" t="s">
        <v>85</v>
      </c>
      <c r="F46" s="22" t="s">
        <v>171</v>
      </c>
      <c r="G46" s="22" t="s">
        <v>79</v>
      </c>
      <c r="H46" s="23" t="s">
        <v>171</v>
      </c>
      <c r="I46" s="24" t="s">
        <v>172</v>
      </c>
      <c r="J46" s="455">
        <v>0</v>
      </c>
      <c r="K46" s="26" t="s">
        <v>94</v>
      </c>
      <c r="L46" s="27">
        <v>1</v>
      </c>
      <c r="M46" s="28">
        <v>8</v>
      </c>
      <c r="N46" s="27">
        <f t="shared" si="0"/>
        <v>8</v>
      </c>
      <c r="O46" s="27">
        <f t="shared" si="1"/>
        <v>1.4089680001290403</v>
      </c>
      <c r="P46" s="28">
        <v>5</v>
      </c>
      <c r="Q46" s="28">
        <v>21</v>
      </c>
      <c r="R46" s="29">
        <f t="shared" si="2"/>
        <v>105</v>
      </c>
      <c r="S46" s="30">
        <v>0.24</v>
      </c>
      <c r="T46" s="30">
        <v>0.14000000000000001</v>
      </c>
      <c r="U46" s="456">
        <v>0</v>
      </c>
      <c r="V46" s="457">
        <v>0</v>
      </c>
      <c r="W46" s="458">
        <v>0</v>
      </c>
      <c r="X46" s="459">
        <v>0</v>
      </c>
      <c r="Y46" s="458">
        <v>0</v>
      </c>
      <c r="Z46" s="459">
        <v>0</v>
      </c>
      <c r="AA46" s="458"/>
      <c r="AB46" s="459">
        <v>0</v>
      </c>
      <c r="AC46" s="458">
        <v>0</v>
      </c>
      <c r="AD46" s="459">
        <v>0</v>
      </c>
      <c r="AE46" s="458">
        <v>0</v>
      </c>
      <c r="AF46" s="459">
        <v>0</v>
      </c>
      <c r="AG46" s="460"/>
      <c r="AH46" s="461"/>
      <c r="AI46" s="458">
        <v>0</v>
      </c>
      <c r="AJ46" s="459">
        <v>0</v>
      </c>
      <c r="AK46" s="462">
        <v>0</v>
      </c>
      <c r="AL46" s="463">
        <v>0</v>
      </c>
      <c r="AM46" s="458">
        <v>0</v>
      </c>
      <c r="AN46" s="464">
        <v>0</v>
      </c>
      <c r="AO46" s="458">
        <v>0</v>
      </c>
      <c r="AP46" s="464">
        <v>0</v>
      </c>
      <c r="AQ46" s="458">
        <v>0</v>
      </c>
      <c r="AR46" s="464">
        <v>0</v>
      </c>
      <c r="AS46" s="458">
        <v>0</v>
      </c>
      <c r="AT46" s="464">
        <v>0</v>
      </c>
      <c r="AU46" s="458">
        <v>0</v>
      </c>
      <c r="AV46" s="464">
        <v>0</v>
      </c>
      <c r="AW46" s="458">
        <v>0</v>
      </c>
      <c r="AX46" s="464">
        <v>0</v>
      </c>
      <c r="AZ46" s="456"/>
      <c r="BA46" s="465"/>
      <c r="BD46" s="42"/>
      <c r="BI46" s="22" t="s">
        <v>216</v>
      </c>
      <c r="BJ46" s="58">
        <v>2000</v>
      </c>
      <c r="BL46" s="22" t="s">
        <v>102</v>
      </c>
      <c r="BN46" s="44"/>
      <c r="BP46" s="45"/>
      <c r="BQ46" s="46"/>
      <c r="BZ46">
        <v>0</v>
      </c>
      <c r="CA46">
        <v>0</v>
      </c>
      <c r="CB46" t="b">
        <f t="shared" si="3"/>
        <v>1</v>
      </c>
    </row>
    <row r="47" spans="1:80" ht="15" customHeight="1" x14ac:dyDescent="0.25">
      <c r="A47" s="22">
        <v>597</v>
      </c>
      <c r="B47" s="23" t="s">
        <v>217</v>
      </c>
      <c r="C47" s="22" t="s">
        <v>170</v>
      </c>
      <c r="D47" s="23" t="s">
        <v>85</v>
      </c>
      <c r="E47" s="23" t="s">
        <v>85</v>
      </c>
      <c r="F47" s="22" t="s">
        <v>171</v>
      </c>
      <c r="G47" s="22" t="s">
        <v>79</v>
      </c>
      <c r="H47" s="23" t="s">
        <v>171</v>
      </c>
      <c r="I47" s="24" t="s">
        <v>197</v>
      </c>
      <c r="J47" s="466">
        <v>0</v>
      </c>
      <c r="K47" s="26" t="s">
        <v>94</v>
      </c>
      <c r="L47" s="27">
        <v>1</v>
      </c>
      <c r="M47" s="28">
        <v>8</v>
      </c>
      <c r="N47" s="27">
        <f t="shared" si="0"/>
        <v>8</v>
      </c>
      <c r="O47" s="27">
        <f t="shared" si="1"/>
        <v>1.4089680001290403</v>
      </c>
      <c r="P47" s="28">
        <v>5</v>
      </c>
      <c r="Q47" s="28">
        <v>21</v>
      </c>
      <c r="R47" s="29">
        <f t="shared" si="2"/>
        <v>105</v>
      </c>
      <c r="S47" s="30">
        <v>0.24</v>
      </c>
      <c r="T47" s="30">
        <v>0.14000000000000001</v>
      </c>
      <c r="U47" s="467">
        <v>0</v>
      </c>
      <c r="V47" s="468">
        <v>0</v>
      </c>
      <c r="W47" s="469">
        <v>0</v>
      </c>
      <c r="X47" s="470">
        <v>0</v>
      </c>
      <c r="Y47" s="469">
        <v>0</v>
      </c>
      <c r="Z47" s="470">
        <v>0</v>
      </c>
      <c r="AA47" s="469"/>
      <c r="AB47" s="470">
        <v>0</v>
      </c>
      <c r="AC47" s="469">
        <v>0</v>
      </c>
      <c r="AD47" s="470">
        <v>0</v>
      </c>
      <c r="AE47" s="469">
        <v>0</v>
      </c>
      <c r="AF47" s="470">
        <v>0</v>
      </c>
      <c r="AG47" s="471"/>
      <c r="AH47" s="472"/>
      <c r="AI47" s="469">
        <v>0</v>
      </c>
      <c r="AJ47" s="470">
        <v>0</v>
      </c>
      <c r="AK47" s="473">
        <v>0</v>
      </c>
      <c r="AL47" s="474">
        <v>0</v>
      </c>
      <c r="AM47" s="469">
        <v>0</v>
      </c>
      <c r="AN47" s="475">
        <v>0</v>
      </c>
      <c r="AO47" s="469">
        <v>0</v>
      </c>
      <c r="AP47" s="475">
        <v>0</v>
      </c>
      <c r="AQ47" s="469">
        <v>0</v>
      </c>
      <c r="AR47" s="475">
        <v>0</v>
      </c>
      <c r="AS47" s="469">
        <v>0</v>
      </c>
      <c r="AT47" s="475">
        <v>0</v>
      </c>
      <c r="AU47" s="469">
        <v>0</v>
      </c>
      <c r="AV47" s="475">
        <v>0</v>
      </c>
      <c r="AW47" s="469">
        <v>0</v>
      </c>
      <c r="AX47" s="475">
        <v>0</v>
      </c>
      <c r="AZ47" s="467"/>
      <c r="BA47" s="476"/>
      <c r="BD47" s="42"/>
      <c r="BI47" s="22" t="s">
        <v>218</v>
      </c>
      <c r="BJ47" s="58">
        <v>0</v>
      </c>
      <c r="BL47" s="22" t="s">
        <v>107</v>
      </c>
      <c r="BN47" s="44"/>
      <c r="BP47" s="45"/>
      <c r="BQ47" s="46"/>
      <c r="BZ47">
        <v>0</v>
      </c>
      <c r="CA47">
        <v>0</v>
      </c>
      <c r="CB47" t="b">
        <f t="shared" si="3"/>
        <v>1</v>
      </c>
    </row>
    <row r="48" spans="1:80" ht="15" customHeight="1" x14ac:dyDescent="0.25">
      <c r="A48" s="22">
        <v>598</v>
      </c>
      <c r="B48" s="23" t="s">
        <v>207</v>
      </c>
      <c r="C48" s="22" t="s">
        <v>170</v>
      </c>
      <c r="D48" s="23" t="s">
        <v>85</v>
      </c>
      <c r="E48" s="23" t="s">
        <v>85</v>
      </c>
      <c r="F48" s="22" t="s">
        <v>171</v>
      </c>
      <c r="G48" s="22" t="s">
        <v>79</v>
      </c>
      <c r="H48" s="23" t="s">
        <v>171</v>
      </c>
      <c r="I48" s="24" t="s">
        <v>197</v>
      </c>
      <c r="J48" s="477">
        <v>0</v>
      </c>
      <c r="K48" s="26" t="s">
        <v>94</v>
      </c>
      <c r="L48" s="27">
        <v>1</v>
      </c>
      <c r="M48" s="28">
        <v>8</v>
      </c>
      <c r="N48" s="27">
        <f t="shared" si="0"/>
        <v>8</v>
      </c>
      <c r="O48" s="27">
        <f t="shared" si="1"/>
        <v>1.4089680001290403</v>
      </c>
      <c r="P48" s="28">
        <v>5</v>
      </c>
      <c r="Q48" s="28">
        <v>21</v>
      </c>
      <c r="R48" s="29">
        <f t="shared" si="2"/>
        <v>105</v>
      </c>
      <c r="S48" s="30">
        <v>0.24</v>
      </c>
      <c r="T48" s="30">
        <v>0.14000000000000001</v>
      </c>
      <c r="U48" s="478">
        <v>0</v>
      </c>
      <c r="V48" s="479">
        <v>0</v>
      </c>
      <c r="W48" s="480">
        <v>0</v>
      </c>
      <c r="X48" s="481">
        <v>0</v>
      </c>
      <c r="Y48" s="480">
        <v>0</v>
      </c>
      <c r="Z48" s="481">
        <v>0</v>
      </c>
      <c r="AA48" s="480"/>
      <c r="AB48" s="481">
        <v>0</v>
      </c>
      <c r="AC48" s="480">
        <v>0</v>
      </c>
      <c r="AD48" s="481">
        <v>0</v>
      </c>
      <c r="AE48" s="480">
        <v>0</v>
      </c>
      <c r="AF48" s="481">
        <v>0</v>
      </c>
      <c r="AG48" s="482"/>
      <c r="AH48" s="483"/>
      <c r="AI48" s="480">
        <v>0</v>
      </c>
      <c r="AJ48" s="481">
        <v>0</v>
      </c>
      <c r="AK48" s="484">
        <v>0</v>
      </c>
      <c r="AL48" s="485">
        <v>0</v>
      </c>
      <c r="AM48" s="480">
        <v>0</v>
      </c>
      <c r="AN48" s="486">
        <v>0</v>
      </c>
      <c r="AO48" s="480">
        <v>0</v>
      </c>
      <c r="AP48" s="486">
        <v>0</v>
      </c>
      <c r="AQ48" s="480">
        <v>0</v>
      </c>
      <c r="AR48" s="486">
        <v>0</v>
      </c>
      <c r="AS48" s="480">
        <v>0</v>
      </c>
      <c r="AT48" s="486">
        <v>0</v>
      </c>
      <c r="AU48" s="480">
        <v>0</v>
      </c>
      <c r="AV48" s="486">
        <v>0</v>
      </c>
      <c r="AW48" s="480">
        <v>0</v>
      </c>
      <c r="AX48" s="486">
        <v>0</v>
      </c>
      <c r="AZ48" s="478"/>
      <c r="BA48" s="487"/>
      <c r="BD48" s="42"/>
      <c r="BH48" t="s">
        <v>219</v>
      </c>
      <c r="BI48" s="22" t="s">
        <v>220</v>
      </c>
      <c r="BJ48" s="58">
        <v>2000</v>
      </c>
      <c r="BL48" s="22" t="s">
        <v>113</v>
      </c>
      <c r="BN48" s="44"/>
      <c r="BP48" s="45"/>
      <c r="BQ48" s="46"/>
      <c r="BZ48">
        <v>0</v>
      </c>
      <c r="CA48">
        <v>0</v>
      </c>
      <c r="CB48" t="b">
        <f t="shared" si="3"/>
        <v>1</v>
      </c>
    </row>
    <row r="49" spans="1:80" ht="15" customHeight="1" x14ac:dyDescent="0.25">
      <c r="A49" s="22">
        <v>610</v>
      </c>
      <c r="B49" s="23" t="s">
        <v>221</v>
      </c>
      <c r="C49" s="22" t="s">
        <v>76</v>
      </c>
      <c r="D49" s="23" t="s">
        <v>220</v>
      </c>
      <c r="E49" s="23" t="s">
        <v>222</v>
      </c>
      <c r="F49" s="22" t="s">
        <v>86</v>
      </c>
      <c r="G49" s="22" t="s">
        <v>86</v>
      </c>
      <c r="H49" s="23" t="s">
        <v>88</v>
      </c>
      <c r="I49" s="24" t="s">
        <v>88</v>
      </c>
      <c r="J49" s="488">
        <v>4.1666670000000003E-2</v>
      </c>
      <c r="K49" s="26" t="s">
        <v>81</v>
      </c>
      <c r="L49" s="27">
        <v>0.35</v>
      </c>
      <c r="M49" s="28">
        <v>24</v>
      </c>
      <c r="N49" s="27">
        <f t="shared" si="0"/>
        <v>8.3999999999999986</v>
      </c>
      <c r="O49" s="27">
        <f t="shared" si="1"/>
        <v>1.4794164001354921</v>
      </c>
      <c r="P49" s="28">
        <v>6</v>
      </c>
      <c r="Q49" s="28">
        <v>10</v>
      </c>
      <c r="R49" s="29">
        <f t="shared" si="2"/>
        <v>60</v>
      </c>
      <c r="S49" s="30">
        <v>0.25119999999999998</v>
      </c>
      <c r="T49" s="30">
        <v>0</v>
      </c>
      <c r="U49" s="489">
        <v>933147</v>
      </c>
      <c r="V49" s="490">
        <v>4.1999999999999997E-3</v>
      </c>
      <c r="W49" s="491">
        <v>902332</v>
      </c>
      <c r="X49" s="492">
        <v>0.80555999999999994</v>
      </c>
      <c r="Y49" s="491">
        <v>902338</v>
      </c>
      <c r="Z49" s="492">
        <v>6.652799999999999E-2</v>
      </c>
      <c r="AA49" s="491">
        <v>933139</v>
      </c>
      <c r="AB49" s="492">
        <v>24</v>
      </c>
      <c r="AC49" s="491">
        <v>938243</v>
      </c>
      <c r="AD49" s="492">
        <v>24</v>
      </c>
      <c r="AE49" s="491">
        <v>0</v>
      </c>
      <c r="AF49" s="492">
        <v>0</v>
      </c>
      <c r="AG49" s="493"/>
      <c r="AH49" s="494"/>
      <c r="AI49" s="491">
        <v>932677</v>
      </c>
      <c r="AJ49" s="492">
        <v>24</v>
      </c>
      <c r="AK49" s="495">
        <v>901734</v>
      </c>
      <c r="AL49" s="496">
        <v>1</v>
      </c>
      <c r="AM49" s="491">
        <v>0</v>
      </c>
      <c r="AN49" s="497">
        <v>0</v>
      </c>
      <c r="AO49" s="491">
        <v>0</v>
      </c>
      <c r="AP49" s="497">
        <v>0</v>
      </c>
      <c r="AQ49" s="491">
        <v>0</v>
      </c>
      <c r="AR49" s="497">
        <v>0</v>
      </c>
      <c r="AS49" s="491">
        <f>IF(K49="P",903360,0)</f>
        <v>903360</v>
      </c>
      <c r="AT49" s="497">
        <f>1/R49</f>
        <v>1.6666666666666666E-2</v>
      </c>
      <c r="AU49" s="491">
        <v>0</v>
      </c>
      <c r="AV49" s="497">
        <v>0</v>
      </c>
      <c r="AW49" s="491">
        <v>0</v>
      </c>
      <c r="AX49" s="497">
        <v>0</v>
      </c>
      <c r="AZ49" s="489"/>
      <c r="BA49" s="498"/>
      <c r="BD49" s="42"/>
      <c r="BI49" s="22" t="s">
        <v>223</v>
      </c>
      <c r="BJ49" s="58">
        <v>2000</v>
      </c>
      <c r="BL49" s="22" t="s">
        <v>118</v>
      </c>
      <c r="BN49" s="44"/>
      <c r="BP49" s="45"/>
      <c r="BQ49" s="46"/>
      <c r="BZ49">
        <v>933147</v>
      </c>
      <c r="CA49">
        <v>939148</v>
      </c>
      <c r="CB49" t="b">
        <f t="shared" si="3"/>
        <v>0</v>
      </c>
    </row>
    <row r="50" spans="1:80" ht="15" customHeight="1" x14ac:dyDescent="0.25">
      <c r="A50" s="22">
        <v>618</v>
      </c>
      <c r="B50" s="23" t="s">
        <v>224</v>
      </c>
      <c r="C50" s="22" t="s">
        <v>76</v>
      </c>
      <c r="D50" s="23" t="s">
        <v>220</v>
      </c>
      <c r="E50" s="23" t="s">
        <v>222</v>
      </c>
      <c r="F50" s="22" t="s">
        <v>91</v>
      </c>
      <c r="G50" s="22" t="s">
        <v>91</v>
      </c>
      <c r="H50" s="23" t="s">
        <v>93</v>
      </c>
      <c r="I50" s="24" t="s">
        <v>93</v>
      </c>
      <c r="J50" s="499">
        <v>4.1666670000000003E-2</v>
      </c>
      <c r="K50" s="26" t="s">
        <v>94</v>
      </c>
      <c r="L50" s="27">
        <v>0.35399999999999998</v>
      </c>
      <c r="M50" s="28">
        <v>6</v>
      </c>
      <c r="N50" s="27">
        <f t="shared" si="0"/>
        <v>2.1239999999999997</v>
      </c>
      <c r="O50" s="27">
        <f t="shared" si="1"/>
        <v>0.37408100403426015</v>
      </c>
      <c r="P50" s="28">
        <v>11</v>
      </c>
      <c r="Q50" s="28">
        <v>45</v>
      </c>
      <c r="R50" s="29">
        <f t="shared" si="2"/>
        <v>495</v>
      </c>
      <c r="S50" s="30">
        <v>0.25119999999999998</v>
      </c>
      <c r="T50" s="30">
        <v>0.1</v>
      </c>
      <c r="U50" s="500">
        <v>0</v>
      </c>
      <c r="V50" s="501">
        <v>0</v>
      </c>
      <c r="W50" s="502">
        <v>0</v>
      </c>
      <c r="X50" s="503">
        <v>0</v>
      </c>
      <c r="Y50" s="502">
        <v>0</v>
      </c>
      <c r="Z50" s="503">
        <v>0</v>
      </c>
      <c r="AA50" s="502"/>
      <c r="AB50" s="503">
        <v>0</v>
      </c>
      <c r="AC50" s="502">
        <v>0</v>
      </c>
      <c r="AD50" s="503">
        <v>0</v>
      </c>
      <c r="AE50" s="502">
        <v>0</v>
      </c>
      <c r="AF50" s="503">
        <v>0</v>
      </c>
      <c r="AG50" s="504"/>
      <c r="AH50" s="505"/>
      <c r="AI50" s="502">
        <v>0</v>
      </c>
      <c r="AJ50" s="503">
        <v>0</v>
      </c>
      <c r="AK50" s="506">
        <v>0</v>
      </c>
      <c r="AL50" s="507">
        <v>0</v>
      </c>
      <c r="AM50" s="502">
        <v>0</v>
      </c>
      <c r="AN50" s="508">
        <v>0</v>
      </c>
      <c r="AO50" s="502">
        <v>0</v>
      </c>
      <c r="AP50" s="508">
        <v>0</v>
      </c>
      <c r="AQ50" s="502">
        <v>0</v>
      </c>
      <c r="AR50" s="508">
        <v>0</v>
      </c>
      <c r="AS50" s="502">
        <v>0</v>
      </c>
      <c r="AT50" s="508">
        <v>0</v>
      </c>
      <c r="AU50" s="502">
        <v>0</v>
      </c>
      <c r="AV50" s="508">
        <v>0</v>
      </c>
      <c r="AW50" s="502">
        <v>0</v>
      </c>
      <c r="AX50" s="508">
        <v>0</v>
      </c>
      <c r="AZ50" s="500"/>
      <c r="BA50" s="509"/>
      <c r="BD50" s="42"/>
      <c r="BI50" s="22" t="s">
        <v>225</v>
      </c>
      <c r="BJ50" s="58">
        <v>2000</v>
      </c>
      <c r="BL50" s="22" t="s">
        <v>123</v>
      </c>
      <c r="BN50" s="44"/>
      <c r="BP50" s="45"/>
      <c r="BQ50" s="46"/>
      <c r="BZ50">
        <v>0</v>
      </c>
      <c r="CA50">
        <v>0</v>
      </c>
      <c r="CB50" t="b">
        <f t="shared" si="3"/>
        <v>1</v>
      </c>
    </row>
    <row r="51" spans="1:80" ht="15" customHeight="1" x14ac:dyDescent="0.25">
      <c r="A51" s="22">
        <v>625</v>
      </c>
      <c r="B51" s="23" t="s">
        <v>226</v>
      </c>
      <c r="C51" s="22" t="s">
        <v>76</v>
      </c>
      <c r="D51" s="23" t="s">
        <v>220</v>
      </c>
      <c r="E51" s="23" t="s">
        <v>222</v>
      </c>
      <c r="F51" s="22" t="s">
        <v>97</v>
      </c>
      <c r="G51" s="22" t="s">
        <v>97</v>
      </c>
      <c r="H51" s="23" t="s">
        <v>99</v>
      </c>
      <c r="I51" s="24" t="s">
        <v>99</v>
      </c>
      <c r="J51" s="510">
        <v>4.1666670000000003E-2</v>
      </c>
      <c r="K51" s="26" t="s">
        <v>81</v>
      </c>
      <c r="L51" s="27">
        <v>1</v>
      </c>
      <c r="M51" s="28">
        <v>12</v>
      </c>
      <c r="N51" s="27">
        <f t="shared" si="0"/>
        <v>12</v>
      </c>
      <c r="O51" s="27">
        <f t="shared" si="1"/>
        <v>2.1134520001935604</v>
      </c>
      <c r="P51" s="28">
        <v>4</v>
      </c>
      <c r="Q51" s="28">
        <v>10</v>
      </c>
      <c r="R51" s="29">
        <f t="shared" si="2"/>
        <v>40</v>
      </c>
      <c r="S51" s="30">
        <v>0.25119999999999998</v>
      </c>
      <c r="T51" s="30">
        <v>0</v>
      </c>
      <c r="U51" s="511">
        <v>933147</v>
      </c>
      <c r="V51" s="512">
        <v>6.0000000000000001E-3</v>
      </c>
      <c r="W51" s="513">
        <v>902332</v>
      </c>
      <c r="X51" s="514">
        <v>1.1508</v>
      </c>
      <c r="Y51" s="513">
        <v>902338</v>
      </c>
      <c r="Z51" s="514">
        <v>9.5039999999999999E-2</v>
      </c>
      <c r="AA51" s="513">
        <v>933139</v>
      </c>
      <c r="AB51" s="514">
        <v>12</v>
      </c>
      <c r="AC51" s="513">
        <v>935187</v>
      </c>
      <c r="AD51" s="514">
        <v>12</v>
      </c>
      <c r="AE51" s="513">
        <v>0</v>
      </c>
      <c r="AF51" s="514">
        <v>0</v>
      </c>
      <c r="AG51" s="515"/>
      <c r="AH51" s="516"/>
      <c r="AI51" s="513">
        <v>934451</v>
      </c>
      <c r="AJ51" s="514">
        <v>12</v>
      </c>
      <c r="AK51" s="517">
        <v>907557</v>
      </c>
      <c r="AL51" s="518">
        <v>1</v>
      </c>
      <c r="AM51" s="513">
        <v>0</v>
      </c>
      <c r="AN51" s="519">
        <v>0</v>
      </c>
      <c r="AO51" s="513">
        <v>0</v>
      </c>
      <c r="AP51" s="519">
        <v>0</v>
      </c>
      <c r="AQ51" s="513">
        <v>0</v>
      </c>
      <c r="AR51" s="519">
        <v>0</v>
      </c>
      <c r="AS51" s="513">
        <f>IF(K51="P",903360,0)</f>
        <v>903360</v>
      </c>
      <c r="AT51" s="519">
        <f>1/R51</f>
        <v>2.5000000000000001E-2</v>
      </c>
      <c r="AU51" s="513">
        <v>0</v>
      </c>
      <c r="AV51" s="519">
        <v>0</v>
      </c>
      <c r="AW51" s="513">
        <v>0</v>
      </c>
      <c r="AX51" s="519">
        <v>0</v>
      </c>
      <c r="AZ51" s="511"/>
      <c r="BA51" s="520"/>
      <c r="BD51" s="42"/>
      <c r="BI51" s="22" t="s">
        <v>227</v>
      </c>
      <c r="BJ51" s="58">
        <v>0</v>
      </c>
      <c r="BL51" s="22" t="s">
        <v>102</v>
      </c>
      <c r="BN51" s="44"/>
      <c r="BP51" s="45"/>
      <c r="BQ51" s="46"/>
      <c r="BZ51">
        <v>933147</v>
      </c>
      <c r="CA51">
        <v>939148</v>
      </c>
      <c r="CB51" t="b">
        <f t="shared" si="3"/>
        <v>0</v>
      </c>
    </row>
    <row r="52" spans="1:80" ht="15" customHeight="1" x14ac:dyDescent="0.25">
      <c r="A52" s="22">
        <v>627</v>
      </c>
      <c r="B52" s="23" t="s">
        <v>228</v>
      </c>
      <c r="C52" s="22" t="s">
        <v>76</v>
      </c>
      <c r="D52" s="23" t="s">
        <v>220</v>
      </c>
      <c r="E52" s="23" t="s">
        <v>222</v>
      </c>
      <c r="F52" s="22" t="s">
        <v>102</v>
      </c>
      <c r="G52" s="22" t="s">
        <v>102</v>
      </c>
      <c r="H52" s="23" t="s">
        <v>104</v>
      </c>
      <c r="I52" s="24" t="s">
        <v>104</v>
      </c>
      <c r="J52" s="521">
        <v>4.1666670000000003E-2</v>
      </c>
      <c r="K52" s="26" t="s">
        <v>81</v>
      </c>
      <c r="L52" s="27">
        <v>0.5</v>
      </c>
      <c r="M52" s="28">
        <v>12</v>
      </c>
      <c r="N52" s="27">
        <f t="shared" si="0"/>
        <v>6</v>
      </c>
      <c r="O52" s="27">
        <f t="shared" si="1"/>
        <v>1.0567260000967802</v>
      </c>
      <c r="P52" s="28">
        <v>6</v>
      </c>
      <c r="Q52" s="28">
        <v>24</v>
      </c>
      <c r="R52" s="29">
        <f t="shared" si="2"/>
        <v>144</v>
      </c>
      <c r="S52" s="30">
        <v>0.25119999999999998</v>
      </c>
      <c r="T52" s="30">
        <v>0</v>
      </c>
      <c r="U52" s="522">
        <v>933147</v>
      </c>
      <c r="V52" s="523">
        <v>3.0000000000000001E-3</v>
      </c>
      <c r="W52" s="524">
        <v>902332</v>
      </c>
      <c r="X52" s="525">
        <v>0.57540000000000002</v>
      </c>
      <c r="Y52" s="524">
        <v>902338</v>
      </c>
      <c r="Z52" s="525">
        <v>5.2271999999999999E-2</v>
      </c>
      <c r="AA52" s="524">
        <v>901767</v>
      </c>
      <c r="AB52" s="525">
        <v>12</v>
      </c>
      <c r="AC52" s="524">
        <v>912948</v>
      </c>
      <c r="AD52" s="525">
        <v>12</v>
      </c>
      <c r="AE52" s="524">
        <v>901189</v>
      </c>
      <c r="AF52" s="525">
        <v>12</v>
      </c>
      <c r="AG52" s="526"/>
      <c r="AH52" s="527"/>
      <c r="AI52" s="524">
        <v>0</v>
      </c>
      <c r="AJ52" s="525">
        <v>0</v>
      </c>
      <c r="AK52" s="528">
        <v>0</v>
      </c>
      <c r="AL52" s="529">
        <v>0</v>
      </c>
      <c r="AM52" s="524">
        <v>932317</v>
      </c>
      <c r="AN52" s="530">
        <v>1.9900000000000001E-2</v>
      </c>
      <c r="AO52" s="524">
        <v>902311</v>
      </c>
      <c r="AP52" s="530">
        <v>2.7777777777777779E-3</v>
      </c>
      <c r="AQ52" s="524">
        <v>933089</v>
      </c>
      <c r="AR52" s="530">
        <v>3.4722222222222224E-2</v>
      </c>
      <c r="AS52" s="524">
        <f>IF(K52="P",903360,0)</f>
        <v>903360</v>
      </c>
      <c r="AT52" s="530">
        <f>1/R52</f>
        <v>6.9444444444444441E-3</v>
      </c>
      <c r="AU52" s="524">
        <v>0</v>
      </c>
      <c r="AV52" s="530">
        <v>0</v>
      </c>
      <c r="AW52" s="524">
        <v>0</v>
      </c>
      <c r="AX52" s="530">
        <v>0</v>
      </c>
      <c r="AZ52" s="522"/>
      <c r="BA52" s="531"/>
      <c r="BD52" s="42"/>
      <c r="BI52" s="22" t="s">
        <v>229</v>
      </c>
      <c r="BJ52" s="58">
        <v>2000</v>
      </c>
      <c r="BL52" s="22" t="s">
        <v>107</v>
      </c>
      <c r="BN52" s="44"/>
      <c r="BP52" s="45"/>
      <c r="BQ52" s="46"/>
      <c r="BZ52">
        <v>933147</v>
      </c>
      <c r="CA52">
        <v>939148</v>
      </c>
      <c r="CB52" t="b">
        <f t="shared" si="3"/>
        <v>0</v>
      </c>
    </row>
    <row r="53" spans="1:80" ht="15" customHeight="1" x14ac:dyDescent="0.25">
      <c r="A53" s="22">
        <v>635</v>
      </c>
      <c r="B53" s="23" t="s">
        <v>230</v>
      </c>
      <c r="C53" s="22" t="s">
        <v>76</v>
      </c>
      <c r="D53" s="23" t="s">
        <v>220</v>
      </c>
      <c r="E53" s="23" t="s">
        <v>222</v>
      </c>
      <c r="F53" s="22" t="s">
        <v>109</v>
      </c>
      <c r="G53" s="22" t="s">
        <v>109</v>
      </c>
      <c r="H53" s="23" t="s">
        <v>110</v>
      </c>
      <c r="I53" s="24"/>
      <c r="J53" s="532">
        <v>4.1666670000000003E-2</v>
      </c>
      <c r="K53" s="26" t="s">
        <v>81</v>
      </c>
      <c r="L53" s="27">
        <v>2</v>
      </c>
      <c r="M53" s="28">
        <v>9</v>
      </c>
      <c r="N53" s="27">
        <f t="shared" si="0"/>
        <v>18</v>
      </c>
      <c r="O53" s="27">
        <f t="shared" si="1"/>
        <v>3.170178000290341</v>
      </c>
      <c r="P53" s="28">
        <v>4</v>
      </c>
      <c r="Q53" s="28">
        <v>10</v>
      </c>
      <c r="R53" s="29">
        <f t="shared" si="2"/>
        <v>40</v>
      </c>
      <c r="S53" s="30">
        <v>0.25119999999999998</v>
      </c>
      <c r="T53" s="30">
        <v>0</v>
      </c>
      <c r="U53" s="533">
        <v>933147</v>
      </c>
      <c r="V53" s="534">
        <v>9.0000000000000011E-3</v>
      </c>
      <c r="W53" s="535">
        <v>902332</v>
      </c>
      <c r="X53" s="536">
        <v>1.7262</v>
      </c>
      <c r="Y53" s="535">
        <v>902338</v>
      </c>
      <c r="Z53" s="536">
        <v>0.15681599999999998</v>
      </c>
      <c r="AA53" s="535">
        <v>939557</v>
      </c>
      <c r="AB53" s="536">
        <v>9</v>
      </c>
      <c r="AC53" s="535">
        <v>939635</v>
      </c>
      <c r="AD53" s="536">
        <v>9</v>
      </c>
      <c r="AE53" s="535">
        <v>0</v>
      </c>
      <c r="AF53" s="536"/>
      <c r="AG53" s="537"/>
      <c r="AH53" s="538"/>
      <c r="AI53" s="535">
        <v>939353</v>
      </c>
      <c r="AJ53" s="536">
        <v>9</v>
      </c>
      <c r="AK53" s="539">
        <v>939352</v>
      </c>
      <c r="AL53" s="540">
        <v>1</v>
      </c>
      <c r="AM53" s="535">
        <v>0</v>
      </c>
      <c r="AN53" s="541">
        <v>0</v>
      </c>
      <c r="AO53" s="535">
        <v>0</v>
      </c>
      <c r="AP53" s="541">
        <v>0</v>
      </c>
      <c r="AQ53" s="535">
        <v>0</v>
      </c>
      <c r="AR53" s="541">
        <v>0</v>
      </c>
      <c r="AS53" s="535">
        <f>IF(K53="P",903360,0)</f>
        <v>903360</v>
      </c>
      <c r="AT53" s="541">
        <f>1/R53</f>
        <v>2.5000000000000001E-2</v>
      </c>
      <c r="AU53" s="535">
        <v>0</v>
      </c>
      <c r="AV53" s="541">
        <v>0</v>
      </c>
      <c r="AW53" s="535">
        <v>0</v>
      </c>
      <c r="AX53" s="541">
        <v>0</v>
      </c>
      <c r="AZ53" s="533"/>
      <c r="BA53" s="542"/>
      <c r="BD53" s="42"/>
      <c r="BI53" s="22" t="s">
        <v>231</v>
      </c>
      <c r="BJ53" s="58">
        <v>2000</v>
      </c>
      <c r="BL53" s="22" t="s">
        <v>128</v>
      </c>
      <c r="BN53" s="44"/>
      <c r="BP53" s="45"/>
      <c r="BQ53" s="46"/>
      <c r="BZ53">
        <v>933147</v>
      </c>
      <c r="CA53">
        <v>939148</v>
      </c>
      <c r="CB53" t="b">
        <f t="shared" si="3"/>
        <v>0</v>
      </c>
    </row>
    <row r="54" spans="1:80" ht="15" customHeight="1" x14ac:dyDescent="0.25">
      <c r="A54" s="22">
        <v>637</v>
      </c>
      <c r="B54" s="23" t="s">
        <v>232</v>
      </c>
      <c r="C54" s="22" t="s">
        <v>76</v>
      </c>
      <c r="D54" s="23" t="s">
        <v>220</v>
      </c>
      <c r="E54" s="23" t="s">
        <v>222</v>
      </c>
      <c r="F54" s="22" t="s">
        <v>153</v>
      </c>
      <c r="G54" s="22" t="s">
        <v>153</v>
      </c>
      <c r="H54" s="23" t="s">
        <v>154</v>
      </c>
      <c r="I54" s="24"/>
      <c r="J54" s="543"/>
      <c r="K54" s="26" t="s">
        <v>94</v>
      </c>
      <c r="L54" s="27">
        <v>0.23699999999999999</v>
      </c>
      <c r="M54" s="28">
        <v>8</v>
      </c>
      <c r="N54" s="27">
        <f t="shared" si="0"/>
        <v>1.8959999999999999</v>
      </c>
      <c r="O54" s="27">
        <f t="shared" si="1"/>
        <v>0.33392541603058257</v>
      </c>
      <c r="P54" s="28">
        <v>8</v>
      </c>
      <c r="Q54" s="28">
        <v>45</v>
      </c>
      <c r="R54" s="29">
        <f t="shared" si="2"/>
        <v>360</v>
      </c>
      <c r="S54" s="30">
        <v>0.25119999999999998</v>
      </c>
      <c r="T54" s="30">
        <v>0.1</v>
      </c>
      <c r="U54" s="544"/>
      <c r="V54" s="545"/>
      <c r="W54" s="546"/>
      <c r="X54" s="547">
        <v>0</v>
      </c>
      <c r="Y54" s="546"/>
      <c r="Z54" s="547">
        <v>0</v>
      </c>
      <c r="AA54" s="546"/>
      <c r="AB54" s="547"/>
      <c r="AC54" s="546">
        <v>0</v>
      </c>
      <c r="AD54" s="547">
        <v>0</v>
      </c>
      <c r="AE54" s="546">
        <v>0</v>
      </c>
      <c r="AF54" s="547">
        <v>0</v>
      </c>
      <c r="AG54" s="548"/>
      <c r="AH54" s="549"/>
      <c r="AI54" s="546">
        <v>0</v>
      </c>
      <c r="AJ54" s="547">
        <v>0</v>
      </c>
      <c r="AK54" s="550">
        <v>0</v>
      </c>
      <c r="AL54" s="551">
        <v>0</v>
      </c>
      <c r="AM54" s="546">
        <v>0</v>
      </c>
      <c r="AN54" s="552">
        <v>0</v>
      </c>
      <c r="AO54" s="546">
        <v>0</v>
      </c>
      <c r="AP54" s="552">
        <v>0</v>
      </c>
      <c r="AQ54" s="546">
        <v>0</v>
      </c>
      <c r="AR54" s="552">
        <v>0</v>
      </c>
      <c r="AS54" s="546">
        <v>0</v>
      </c>
      <c r="AT54" s="552">
        <v>0</v>
      </c>
      <c r="AU54" s="546">
        <v>0</v>
      </c>
      <c r="AV54" s="552">
        <v>0</v>
      </c>
      <c r="AW54" s="546">
        <v>0</v>
      </c>
      <c r="AX54" s="552">
        <v>0</v>
      </c>
      <c r="AZ54" s="544"/>
      <c r="BA54" s="553"/>
      <c r="BD54" s="42"/>
      <c r="BI54" s="22" t="s">
        <v>233</v>
      </c>
      <c r="BJ54" s="58">
        <v>2000</v>
      </c>
      <c r="BL54" s="22" t="s">
        <v>86</v>
      </c>
      <c r="BN54" s="44"/>
      <c r="BP54" s="45"/>
      <c r="BQ54" s="46"/>
      <c r="CA54">
        <v>0</v>
      </c>
      <c r="CB54" t="b">
        <f t="shared" si="3"/>
        <v>1</v>
      </c>
    </row>
    <row r="55" spans="1:80" ht="15" customHeight="1" x14ac:dyDescent="0.25">
      <c r="A55" s="22">
        <v>640</v>
      </c>
      <c r="B55" s="23" t="s">
        <v>234</v>
      </c>
      <c r="C55" s="22" t="s">
        <v>76</v>
      </c>
      <c r="D55" s="23" t="s">
        <v>220</v>
      </c>
      <c r="E55" s="23" t="s">
        <v>222</v>
      </c>
      <c r="F55" s="22" t="s">
        <v>107</v>
      </c>
      <c r="G55" s="22" t="s">
        <v>107</v>
      </c>
      <c r="H55" s="23" t="s">
        <v>115</v>
      </c>
      <c r="I55" s="24" t="s">
        <v>115</v>
      </c>
      <c r="J55" s="554">
        <v>4.1666670000000003E-2</v>
      </c>
      <c r="K55" s="26" t="s">
        <v>81</v>
      </c>
      <c r="L55" s="27">
        <v>1.5</v>
      </c>
      <c r="M55" s="28">
        <v>8</v>
      </c>
      <c r="N55" s="27">
        <f t="shared" si="0"/>
        <v>12</v>
      </c>
      <c r="O55" s="27">
        <f t="shared" si="1"/>
        <v>2.1134520001935604</v>
      </c>
      <c r="P55" s="28">
        <v>4</v>
      </c>
      <c r="Q55" s="28">
        <v>21</v>
      </c>
      <c r="R55" s="29">
        <f t="shared" si="2"/>
        <v>84</v>
      </c>
      <c r="S55" s="30">
        <v>0.25119999999999998</v>
      </c>
      <c r="T55" s="30">
        <v>0</v>
      </c>
      <c r="U55" s="555">
        <v>933147</v>
      </c>
      <c r="V55" s="556">
        <v>6.0000000000000001E-3</v>
      </c>
      <c r="W55" s="557">
        <v>902332</v>
      </c>
      <c r="X55" s="558">
        <v>1.1508</v>
      </c>
      <c r="Y55" s="557">
        <v>902338</v>
      </c>
      <c r="Z55" s="558">
        <v>0.104544</v>
      </c>
      <c r="AA55" s="557">
        <v>901767</v>
      </c>
      <c r="AB55" s="558">
        <v>8</v>
      </c>
      <c r="AC55" s="557">
        <v>910882</v>
      </c>
      <c r="AD55" s="558">
        <v>8</v>
      </c>
      <c r="AE55" s="557">
        <v>913486</v>
      </c>
      <c r="AF55" s="558">
        <v>8</v>
      </c>
      <c r="AG55" s="559"/>
      <c r="AH55" s="560"/>
      <c r="AI55" s="557">
        <v>0</v>
      </c>
      <c r="AJ55" s="558">
        <v>0</v>
      </c>
      <c r="AK55" s="561">
        <v>0</v>
      </c>
      <c r="AL55" s="562">
        <v>0</v>
      </c>
      <c r="AM55" s="557">
        <v>902310</v>
      </c>
      <c r="AN55" s="563">
        <v>3.1199999999999999E-2</v>
      </c>
      <c r="AO55" s="557">
        <v>902311</v>
      </c>
      <c r="AP55" s="563">
        <v>5.0000000000000001E-3</v>
      </c>
      <c r="AQ55" s="557">
        <v>910319</v>
      </c>
      <c r="AR55" s="563">
        <v>3.5714285714285712E-2</v>
      </c>
      <c r="AS55" s="557">
        <f>IF(K55="P",903360,0)</f>
        <v>903360</v>
      </c>
      <c r="AT55" s="563">
        <f>1/R55</f>
        <v>1.1904761904761904E-2</v>
      </c>
      <c r="AU55" s="557">
        <v>0</v>
      </c>
      <c r="AV55" s="563">
        <v>0</v>
      </c>
      <c r="AW55" s="557">
        <v>0</v>
      </c>
      <c r="AX55" s="563">
        <v>0</v>
      </c>
      <c r="AZ55" s="555"/>
      <c r="BA55" s="564"/>
      <c r="BD55" s="42"/>
      <c r="BI55" s="22" t="s">
        <v>235</v>
      </c>
      <c r="BJ55" s="58"/>
      <c r="BL55" s="22" t="s">
        <v>97</v>
      </c>
      <c r="BN55" s="44"/>
      <c r="BP55" s="45"/>
      <c r="BQ55" s="46"/>
      <c r="BZ55">
        <v>933147</v>
      </c>
      <c r="CA55">
        <v>939148</v>
      </c>
      <c r="CB55" t="b">
        <f t="shared" si="3"/>
        <v>0</v>
      </c>
    </row>
    <row r="56" spans="1:80" ht="15" customHeight="1" x14ac:dyDescent="0.25">
      <c r="A56" s="22">
        <v>644</v>
      </c>
      <c r="B56" s="23" t="s">
        <v>236</v>
      </c>
      <c r="C56" s="22" t="s">
        <v>76</v>
      </c>
      <c r="D56" s="23" t="s">
        <v>220</v>
      </c>
      <c r="E56" s="23" t="s">
        <v>222</v>
      </c>
      <c r="F56" s="22" t="s">
        <v>113</v>
      </c>
      <c r="G56" s="22" t="s">
        <v>113</v>
      </c>
      <c r="H56" s="23" t="s">
        <v>120</v>
      </c>
      <c r="I56" s="24" t="s">
        <v>120</v>
      </c>
      <c r="J56" s="565">
        <v>4.1666670000000003E-2</v>
      </c>
      <c r="K56" s="26" t="s">
        <v>81</v>
      </c>
      <c r="L56" s="27">
        <v>1.75</v>
      </c>
      <c r="M56" s="28">
        <v>8</v>
      </c>
      <c r="N56" s="27">
        <f t="shared" si="0"/>
        <v>14</v>
      </c>
      <c r="O56" s="27">
        <f t="shared" si="1"/>
        <v>2.4656940002258207</v>
      </c>
      <c r="P56" s="28">
        <v>5</v>
      </c>
      <c r="Q56" s="28">
        <v>15</v>
      </c>
      <c r="R56" s="29">
        <f t="shared" si="2"/>
        <v>75</v>
      </c>
      <c r="S56" s="30">
        <v>0.25119999999999998</v>
      </c>
      <c r="T56" s="30">
        <v>0</v>
      </c>
      <c r="U56" s="566">
        <v>933147</v>
      </c>
      <c r="V56" s="567">
        <v>7.0000000000000001E-3</v>
      </c>
      <c r="W56" s="568">
        <v>902332</v>
      </c>
      <c r="X56" s="569">
        <v>1.3426</v>
      </c>
      <c r="Y56" s="568">
        <v>902338</v>
      </c>
      <c r="Z56" s="569">
        <v>0.11088000000000001</v>
      </c>
      <c r="AA56" s="568">
        <v>901767</v>
      </c>
      <c r="AB56" s="569">
        <v>8</v>
      </c>
      <c r="AC56" s="568">
        <v>930638</v>
      </c>
      <c r="AD56" s="569">
        <v>8</v>
      </c>
      <c r="AE56" s="568">
        <v>911881</v>
      </c>
      <c r="AF56" s="569">
        <v>8</v>
      </c>
      <c r="AG56" s="570"/>
      <c r="AH56" s="571"/>
      <c r="AI56" s="568">
        <v>0</v>
      </c>
      <c r="AJ56" s="569">
        <v>0</v>
      </c>
      <c r="AK56" s="572">
        <v>0</v>
      </c>
      <c r="AL56" s="573">
        <v>0</v>
      </c>
      <c r="AM56" s="568">
        <v>902310</v>
      </c>
      <c r="AN56" s="574">
        <v>3.3099999999999997E-2</v>
      </c>
      <c r="AO56" s="568">
        <v>923266</v>
      </c>
      <c r="AP56" s="574">
        <v>5.0000000000000001E-3</v>
      </c>
      <c r="AQ56" s="568">
        <v>910319</v>
      </c>
      <c r="AR56" s="574">
        <v>5.3333333333333337E-2</v>
      </c>
      <c r="AS56" s="568">
        <f>IF(K56="P",903360,0)</f>
        <v>903360</v>
      </c>
      <c r="AT56" s="574">
        <f>1/R56</f>
        <v>1.3333333333333334E-2</v>
      </c>
      <c r="AU56" s="568">
        <v>0</v>
      </c>
      <c r="AV56" s="574">
        <v>0</v>
      </c>
      <c r="AW56" s="568">
        <v>0</v>
      </c>
      <c r="AX56" s="574">
        <v>0</v>
      </c>
      <c r="AZ56" s="566"/>
      <c r="BA56" s="575"/>
      <c r="BD56" s="42"/>
      <c r="BI56" s="22" t="s">
        <v>237</v>
      </c>
      <c r="BJ56" s="58"/>
      <c r="BL56" s="22" t="s">
        <v>102</v>
      </c>
      <c r="BN56" s="44"/>
      <c r="BP56" s="45"/>
      <c r="BQ56" s="46"/>
      <c r="BZ56">
        <v>933147</v>
      </c>
      <c r="CA56">
        <v>939148</v>
      </c>
      <c r="CB56" t="b">
        <f t="shared" si="3"/>
        <v>0</v>
      </c>
    </row>
    <row r="57" spans="1:80" ht="15" customHeight="1" x14ac:dyDescent="0.25">
      <c r="A57" s="22">
        <v>659</v>
      </c>
      <c r="B57" s="23" t="s">
        <v>238</v>
      </c>
      <c r="C57" s="22" t="s">
        <v>76</v>
      </c>
      <c r="D57" s="23" t="s">
        <v>220</v>
      </c>
      <c r="E57" s="23" t="s">
        <v>222</v>
      </c>
      <c r="F57" s="22" t="s">
        <v>118</v>
      </c>
      <c r="G57" s="22" t="s">
        <v>118</v>
      </c>
      <c r="H57" s="23" t="s">
        <v>125</v>
      </c>
      <c r="I57" s="24" t="s">
        <v>125</v>
      </c>
      <c r="J57" s="576">
        <v>4.1666670000000003E-2</v>
      </c>
      <c r="K57" s="26" t="s">
        <v>81</v>
      </c>
      <c r="L57" s="27">
        <v>2.25</v>
      </c>
      <c r="M57" s="28">
        <v>6</v>
      </c>
      <c r="N57" s="27">
        <f t="shared" si="0"/>
        <v>13.5</v>
      </c>
      <c r="O57" s="27">
        <f t="shared" si="1"/>
        <v>2.3776335002177555</v>
      </c>
      <c r="P57" s="28">
        <v>4</v>
      </c>
      <c r="Q57" s="28">
        <v>20</v>
      </c>
      <c r="R57" s="29">
        <f t="shared" si="2"/>
        <v>80</v>
      </c>
      <c r="S57" s="30">
        <v>0.25119999999999998</v>
      </c>
      <c r="T57" s="30">
        <v>0</v>
      </c>
      <c r="U57" s="577">
        <v>933147</v>
      </c>
      <c r="V57" s="578">
        <v>6.7499999999999991E-3</v>
      </c>
      <c r="W57" s="579">
        <v>902332</v>
      </c>
      <c r="X57" s="580">
        <v>1.2946499999999999</v>
      </c>
      <c r="Y57" s="579">
        <v>902338</v>
      </c>
      <c r="Z57" s="580">
        <v>0.11761199999999999</v>
      </c>
      <c r="AA57" s="579">
        <v>901767</v>
      </c>
      <c r="AB57" s="580">
        <v>6</v>
      </c>
      <c r="AC57" s="579">
        <v>905625</v>
      </c>
      <c r="AD57" s="580">
        <v>6</v>
      </c>
      <c r="AE57" s="579">
        <v>911881</v>
      </c>
      <c r="AF57" s="580">
        <v>6</v>
      </c>
      <c r="AG57" s="581"/>
      <c r="AH57" s="582"/>
      <c r="AI57" s="579">
        <v>0</v>
      </c>
      <c r="AJ57" s="580">
        <v>0</v>
      </c>
      <c r="AK57" s="583">
        <v>0</v>
      </c>
      <c r="AL57" s="584">
        <v>0</v>
      </c>
      <c r="AM57" s="579">
        <v>932442</v>
      </c>
      <c r="AN57" s="585">
        <v>2.7699999999999999E-2</v>
      </c>
      <c r="AO57" s="579">
        <v>902311</v>
      </c>
      <c r="AP57" s="585">
        <v>4.3750000000000004E-3</v>
      </c>
      <c r="AQ57" s="579">
        <v>933089</v>
      </c>
      <c r="AR57" s="585">
        <v>3.7499999999999999E-2</v>
      </c>
      <c r="AS57" s="579">
        <f>IF(K57="P",903360,0)</f>
        <v>903360</v>
      </c>
      <c r="AT57" s="585">
        <f>1/R57</f>
        <v>1.2500000000000001E-2</v>
      </c>
      <c r="AU57" s="579">
        <v>0</v>
      </c>
      <c r="AV57" s="585">
        <v>0</v>
      </c>
      <c r="AW57" s="579">
        <v>0</v>
      </c>
      <c r="AX57" s="585">
        <v>0</v>
      </c>
      <c r="AZ57" s="577"/>
      <c r="BA57" s="586"/>
      <c r="BD57" s="42"/>
      <c r="BI57" s="22"/>
      <c r="BJ57" s="58"/>
      <c r="BL57" s="22" t="s">
        <v>91</v>
      </c>
      <c r="BN57" s="44"/>
      <c r="BP57" s="45"/>
      <c r="BQ57" s="46"/>
      <c r="BZ57">
        <v>933147</v>
      </c>
      <c r="CA57">
        <v>939148</v>
      </c>
      <c r="CB57" t="b">
        <f t="shared" si="3"/>
        <v>0</v>
      </c>
    </row>
    <row r="58" spans="1:80" ht="15" customHeight="1" x14ac:dyDescent="0.25">
      <c r="A58" s="22">
        <v>661</v>
      </c>
      <c r="B58" s="23" t="s">
        <v>239</v>
      </c>
      <c r="C58" s="22" t="s">
        <v>76</v>
      </c>
      <c r="D58" s="23" t="s">
        <v>220</v>
      </c>
      <c r="E58" s="23" t="s">
        <v>222</v>
      </c>
      <c r="F58" s="22" t="s">
        <v>123</v>
      </c>
      <c r="G58" s="22" t="s">
        <v>123</v>
      </c>
      <c r="H58" s="23" t="s">
        <v>130</v>
      </c>
      <c r="I58" s="24" t="s">
        <v>130</v>
      </c>
      <c r="J58" s="587">
        <v>4.1666670000000003E-2</v>
      </c>
      <c r="K58" s="26" t="s">
        <v>81</v>
      </c>
      <c r="L58" s="27">
        <v>3</v>
      </c>
      <c r="M58" s="28">
        <v>6</v>
      </c>
      <c r="N58" s="27">
        <f t="shared" si="0"/>
        <v>18</v>
      </c>
      <c r="O58" s="27">
        <f t="shared" si="1"/>
        <v>3.170178000290341</v>
      </c>
      <c r="P58" s="28">
        <v>4</v>
      </c>
      <c r="Q58" s="28">
        <v>15</v>
      </c>
      <c r="R58" s="29">
        <f t="shared" si="2"/>
        <v>60</v>
      </c>
      <c r="S58" s="30">
        <v>0.25119999999999998</v>
      </c>
      <c r="T58" s="30">
        <v>0</v>
      </c>
      <c r="U58" s="588">
        <v>933147</v>
      </c>
      <c r="V58" s="589">
        <v>9.0000000000000011E-3</v>
      </c>
      <c r="W58" s="590">
        <v>902332</v>
      </c>
      <c r="X58" s="591">
        <v>1.7262</v>
      </c>
      <c r="Y58" s="590">
        <v>902338</v>
      </c>
      <c r="Z58" s="591">
        <v>0.15681600000000001</v>
      </c>
      <c r="AA58" s="590">
        <v>901767</v>
      </c>
      <c r="AB58" s="591">
        <v>6</v>
      </c>
      <c r="AC58" s="590">
        <v>919915</v>
      </c>
      <c r="AD58" s="591">
        <v>6</v>
      </c>
      <c r="AE58" s="590">
        <v>913487</v>
      </c>
      <c r="AF58" s="591">
        <v>6</v>
      </c>
      <c r="AG58" s="592"/>
      <c r="AH58" s="593"/>
      <c r="AI58" s="590">
        <v>0</v>
      </c>
      <c r="AJ58" s="591">
        <v>0</v>
      </c>
      <c r="AK58" s="594">
        <v>0</v>
      </c>
      <c r="AL58" s="595">
        <v>0</v>
      </c>
      <c r="AM58" s="590">
        <v>902310</v>
      </c>
      <c r="AN58" s="596">
        <v>3.6200000000000003E-2</v>
      </c>
      <c r="AO58" s="590">
        <v>923266</v>
      </c>
      <c r="AP58" s="596">
        <v>8.1665999999999996E-3</v>
      </c>
      <c r="AQ58" s="590">
        <v>910319</v>
      </c>
      <c r="AR58" s="596">
        <v>0.05</v>
      </c>
      <c r="AS58" s="590">
        <f>IF(K58="P",903360,0)</f>
        <v>903360</v>
      </c>
      <c r="AT58" s="596">
        <f>1/R58</f>
        <v>1.6666666666666666E-2</v>
      </c>
      <c r="AU58" s="590">
        <v>0</v>
      </c>
      <c r="AV58" s="596">
        <v>0</v>
      </c>
      <c r="AW58" s="590">
        <v>0</v>
      </c>
      <c r="AX58" s="596">
        <v>0</v>
      </c>
      <c r="AZ58" s="588"/>
      <c r="BA58" s="597"/>
      <c r="BD58" s="42"/>
      <c r="BI58" s="22"/>
      <c r="BJ58" s="58"/>
      <c r="BL58" s="22" t="s">
        <v>107</v>
      </c>
      <c r="BN58" s="44"/>
      <c r="BP58" s="45"/>
      <c r="BQ58" s="46"/>
      <c r="BZ58">
        <v>933147</v>
      </c>
      <c r="CA58">
        <v>939148</v>
      </c>
      <c r="CB58" t="b">
        <f t="shared" si="3"/>
        <v>0</v>
      </c>
    </row>
    <row r="59" spans="1:80" ht="15" customHeight="1" x14ac:dyDescent="0.25">
      <c r="A59" s="22">
        <v>1001</v>
      </c>
      <c r="B59" s="23" t="s">
        <v>240</v>
      </c>
      <c r="C59" s="22" t="s">
        <v>170</v>
      </c>
      <c r="D59" s="23" t="s">
        <v>241</v>
      </c>
      <c r="E59" s="23" t="s">
        <v>241</v>
      </c>
      <c r="F59" s="22" t="s">
        <v>242</v>
      </c>
      <c r="G59" s="22" t="s">
        <v>163</v>
      </c>
      <c r="H59" s="23" t="s">
        <v>242</v>
      </c>
      <c r="I59" s="24" t="s">
        <v>242</v>
      </c>
      <c r="J59" s="598">
        <v>0</v>
      </c>
      <c r="K59" s="26" t="s">
        <v>94</v>
      </c>
      <c r="L59" s="27">
        <v>0.2</v>
      </c>
      <c r="M59" s="28">
        <v>6</v>
      </c>
      <c r="N59" s="27">
        <f t="shared" si="0"/>
        <v>1.2000000000000002</v>
      </c>
      <c r="O59" s="27">
        <f t="shared" si="1"/>
        <v>0.21134520001935608</v>
      </c>
      <c r="P59" s="28">
        <v>9</v>
      </c>
      <c r="Q59" s="28">
        <v>84</v>
      </c>
      <c r="R59" s="29">
        <f t="shared" si="2"/>
        <v>756</v>
      </c>
      <c r="S59" s="30">
        <v>0.2</v>
      </c>
      <c r="T59" s="30">
        <v>0.15</v>
      </c>
      <c r="U59" s="599">
        <v>0</v>
      </c>
      <c r="V59" s="600">
        <v>0</v>
      </c>
      <c r="W59" s="601">
        <v>0</v>
      </c>
      <c r="X59" s="602">
        <v>0</v>
      </c>
      <c r="Y59" s="601">
        <v>0</v>
      </c>
      <c r="Z59" s="602">
        <v>0</v>
      </c>
      <c r="AA59" s="601"/>
      <c r="AB59" s="602">
        <v>0</v>
      </c>
      <c r="AC59" s="601">
        <v>0</v>
      </c>
      <c r="AD59" s="602">
        <v>0</v>
      </c>
      <c r="AE59" s="601">
        <v>0</v>
      </c>
      <c r="AF59" s="602">
        <v>0</v>
      </c>
      <c r="AG59" s="603"/>
      <c r="AH59" s="604"/>
      <c r="AI59" s="601">
        <v>0</v>
      </c>
      <c r="AJ59" s="602">
        <v>0</v>
      </c>
      <c r="AK59" s="605">
        <v>0</v>
      </c>
      <c r="AL59" s="606">
        <v>0</v>
      </c>
      <c r="AM59" s="601">
        <v>0</v>
      </c>
      <c r="AN59" s="607">
        <v>0</v>
      </c>
      <c r="AO59" s="601">
        <v>0</v>
      </c>
      <c r="AP59" s="607">
        <v>0</v>
      </c>
      <c r="AQ59" s="601">
        <v>0</v>
      </c>
      <c r="AR59" s="607">
        <v>0</v>
      </c>
      <c r="AS59" s="601">
        <v>0</v>
      </c>
      <c r="AT59" s="607">
        <v>0</v>
      </c>
      <c r="AU59" s="601">
        <v>0</v>
      </c>
      <c r="AV59" s="607">
        <v>0</v>
      </c>
      <c r="AW59" s="601">
        <v>0</v>
      </c>
      <c r="AX59" s="607">
        <v>0</v>
      </c>
      <c r="AZ59" s="599"/>
      <c r="BA59" s="608"/>
      <c r="BD59" s="42"/>
      <c r="BI59" s="22"/>
      <c r="BJ59" s="58"/>
      <c r="BL59" s="22" t="s">
        <v>113</v>
      </c>
      <c r="BN59" s="44"/>
      <c r="BP59" s="45"/>
      <c r="BQ59" s="46"/>
      <c r="BZ59">
        <v>0</v>
      </c>
      <c r="CA59">
        <v>0</v>
      </c>
      <c r="CB59" t="b">
        <f t="shared" si="3"/>
        <v>1</v>
      </c>
    </row>
    <row r="60" spans="1:80" ht="15" customHeight="1" x14ac:dyDescent="0.25">
      <c r="A60" s="22">
        <v>1027</v>
      </c>
      <c r="B60" s="23" t="s">
        <v>243</v>
      </c>
      <c r="C60" s="22" t="s">
        <v>76</v>
      </c>
      <c r="D60" s="23" t="s">
        <v>138</v>
      </c>
      <c r="E60" s="23" t="s">
        <v>244</v>
      </c>
      <c r="F60" s="22" t="s">
        <v>102</v>
      </c>
      <c r="G60" s="22" t="s">
        <v>102</v>
      </c>
      <c r="H60" s="23" t="s">
        <v>104</v>
      </c>
      <c r="I60" s="24" t="s">
        <v>104</v>
      </c>
      <c r="J60" s="609">
        <v>8.6956519999999982E-2</v>
      </c>
      <c r="K60" s="26" t="s">
        <v>81</v>
      </c>
      <c r="L60" s="27">
        <v>0.5</v>
      </c>
      <c r="M60" s="28">
        <v>12</v>
      </c>
      <c r="N60" s="27">
        <f t="shared" si="0"/>
        <v>6</v>
      </c>
      <c r="O60" s="27">
        <f t="shared" si="1"/>
        <v>1.0567260000967802</v>
      </c>
      <c r="P60" s="28">
        <v>6</v>
      </c>
      <c r="Q60" s="28">
        <v>24</v>
      </c>
      <c r="R60" s="29">
        <f t="shared" si="2"/>
        <v>144</v>
      </c>
      <c r="S60" s="30">
        <v>0.23499999999999999</v>
      </c>
      <c r="T60" s="30">
        <v>0</v>
      </c>
      <c r="U60" s="610">
        <v>919744</v>
      </c>
      <c r="V60" s="611">
        <v>3.171750277528149E-3</v>
      </c>
      <c r="W60" s="612">
        <v>0</v>
      </c>
      <c r="X60" s="613">
        <v>0</v>
      </c>
      <c r="Y60" s="612">
        <v>902338</v>
      </c>
      <c r="Z60" s="613">
        <v>3.4451999999999997E-2</v>
      </c>
      <c r="AA60" s="612">
        <v>901829</v>
      </c>
      <c r="AB60" s="613">
        <v>12</v>
      </c>
      <c r="AC60" s="612">
        <v>930214</v>
      </c>
      <c r="AD60" s="613">
        <v>12</v>
      </c>
      <c r="AE60" s="612">
        <v>901189</v>
      </c>
      <c r="AF60" s="613">
        <v>12</v>
      </c>
      <c r="AG60" s="614"/>
      <c r="AH60" s="615"/>
      <c r="AI60" s="612">
        <v>0</v>
      </c>
      <c r="AJ60" s="613">
        <v>0</v>
      </c>
      <c r="AK60" s="616">
        <v>0</v>
      </c>
      <c r="AL60" s="617">
        <v>0</v>
      </c>
      <c r="AM60" s="612">
        <v>932437</v>
      </c>
      <c r="AN60" s="618">
        <v>1.9900000000000001E-2</v>
      </c>
      <c r="AO60" s="612">
        <v>902311</v>
      </c>
      <c r="AP60" s="618">
        <v>2.7777777777777779E-3</v>
      </c>
      <c r="AQ60" s="612">
        <v>933089</v>
      </c>
      <c r="AR60" s="618">
        <v>3.4722222222222224E-2</v>
      </c>
      <c r="AS60" s="612">
        <f>IF(K60="P",903360,0)</f>
        <v>903360</v>
      </c>
      <c r="AT60" s="618">
        <f>1/R60</f>
        <v>6.9444444444444441E-3</v>
      </c>
      <c r="AU60" s="612">
        <v>0</v>
      </c>
      <c r="AV60" s="618">
        <v>0</v>
      </c>
      <c r="AW60" s="612">
        <v>0</v>
      </c>
      <c r="AX60" s="618">
        <v>0</v>
      </c>
      <c r="AZ60" s="610"/>
      <c r="BA60" s="619"/>
      <c r="BD60" s="42"/>
      <c r="BI60" s="22"/>
      <c r="BJ60" s="58"/>
      <c r="BL60" s="22" t="s">
        <v>118</v>
      </c>
      <c r="BN60" s="44"/>
      <c r="BP60" s="45"/>
      <c r="BQ60" s="46"/>
      <c r="BZ60">
        <v>919744</v>
      </c>
      <c r="CA60">
        <v>940599</v>
      </c>
      <c r="CB60" t="b">
        <f t="shared" si="3"/>
        <v>0</v>
      </c>
    </row>
    <row r="61" spans="1:80" ht="15" customHeight="1" x14ac:dyDescent="0.25">
      <c r="A61" s="22">
        <v>1028</v>
      </c>
      <c r="B61" s="23" t="s">
        <v>245</v>
      </c>
      <c r="C61" s="22" t="s">
        <v>76</v>
      </c>
      <c r="D61" s="23" t="s">
        <v>138</v>
      </c>
      <c r="E61" s="23" t="s">
        <v>244</v>
      </c>
      <c r="F61" s="22" t="s">
        <v>91</v>
      </c>
      <c r="G61" s="22" t="s">
        <v>91</v>
      </c>
      <c r="H61" s="23" t="s">
        <v>93</v>
      </c>
      <c r="I61" s="24" t="s">
        <v>93</v>
      </c>
      <c r="J61" s="620">
        <v>8.6956519999999995E-2</v>
      </c>
      <c r="K61" s="26" t="s">
        <v>94</v>
      </c>
      <c r="L61" s="27">
        <v>0.35399999999999998</v>
      </c>
      <c r="M61" s="28">
        <v>6</v>
      </c>
      <c r="N61" s="27">
        <f t="shared" si="0"/>
        <v>2.1239999999999997</v>
      </c>
      <c r="O61" s="27">
        <f t="shared" si="1"/>
        <v>0.37408100403426015</v>
      </c>
      <c r="P61" s="28">
        <v>11</v>
      </c>
      <c r="Q61" s="28">
        <v>45</v>
      </c>
      <c r="R61" s="29">
        <f t="shared" si="2"/>
        <v>495</v>
      </c>
      <c r="S61" s="30">
        <v>0.23499999999999999</v>
      </c>
      <c r="T61" s="30">
        <v>0.05</v>
      </c>
      <c r="U61" s="621">
        <v>0</v>
      </c>
      <c r="V61" s="622">
        <v>0</v>
      </c>
      <c r="W61" s="623">
        <v>0</v>
      </c>
      <c r="X61" s="624">
        <v>0</v>
      </c>
      <c r="Y61" s="623">
        <v>0</v>
      </c>
      <c r="Z61" s="624">
        <v>0</v>
      </c>
      <c r="AA61" s="623"/>
      <c r="AB61" s="624">
        <v>0</v>
      </c>
      <c r="AC61" s="623">
        <v>0</v>
      </c>
      <c r="AD61" s="624">
        <v>0</v>
      </c>
      <c r="AE61" s="623">
        <v>0</v>
      </c>
      <c r="AF61" s="624">
        <v>0</v>
      </c>
      <c r="AG61" s="625"/>
      <c r="AH61" s="626"/>
      <c r="AI61" s="623">
        <v>0</v>
      </c>
      <c r="AJ61" s="624">
        <v>0</v>
      </c>
      <c r="AK61" s="627">
        <v>0</v>
      </c>
      <c r="AL61" s="628">
        <v>0</v>
      </c>
      <c r="AM61" s="623">
        <v>0</v>
      </c>
      <c r="AN61" s="629">
        <v>0</v>
      </c>
      <c r="AO61" s="623">
        <v>0</v>
      </c>
      <c r="AP61" s="629">
        <v>0</v>
      </c>
      <c r="AQ61" s="623">
        <v>0</v>
      </c>
      <c r="AR61" s="629">
        <v>0</v>
      </c>
      <c r="AS61" s="623">
        <v>0</v>
      </c>
      <c r="AT61" s="629">
        <v>0</v>
      </c>
      <c r="AU61" s="623">
        <v>0</v>
      </c>
      <c r="AV61" s="629">
        <v>0</v>
      </c>
      <c r="AW61" s="623">
        <v>0</v>
      </c>
      <c r="AX61" s="629">
        <v>0</v>
      </c>
      <c r="AZ61" s="621"/>
      <c r="BA61" s="630"/>
      <c r="BD61" s="42"/>
      <c r="BI61" s="22"/>
      <c r="BJ61" s="58"/>
      <c r="BL61" s="22" t="s">
        <v>123</v>
      </c>
      <c r="BN61" s="44"/>
      <c r="BP61" s="45"/>
      <c r="BQ61" s="46"/>
      <c r="BZ61">
        <v>0</v>
      </c>
      <c r="CA61">
        <v>0</v>
      </c>
      <c r="CB61" t="b">
        <f t="shared" si="3"/>
        <v>1</v>
      </c>
    </row>
    <row r="62" spans="1:80" ht="15" customHeight="1" x14ac:dyDescent="0.25">
      <c r="A62" s="22">
        <v>1040</v>
      </c>
      <c r="B62" s="23" t="s">
        <v>246</v>
      </c>
      <c r="C62" s="22" t="s">
        <v>76</v>
      </c>
      <c r="D62" s="23" t="s">
        <v>138</v>
      </c>
      <c r="E62" s="23" t="s">
        <v>244</v>
      </c>
      <c r="F62" s="22" t="s">
        <v>107</v>
      </c>
      <c r="G62" s="22" t="s">
        <v>107</v>
      </c>
      <c r="H62" s="23" t="s">
        <v>115</v>
      </c>
      <c r="I62" s="24" t="s">
        <v>115</v>
      </c>
      <c r="J62" s="631">
        <v>8.6956519999999995E-2</v>
      </c>
      <c r="K62" s="26" t="s">
        <v>81</v>
      </c>
      <c r="L62" s="27">
        <v>1.5</v>
      </c>
      <c r="M62" s="28">
        <v>8</v>
      </c>
      <c r="N62" s="27">
        <f t="shared" si="0"/>
        <v>12</v>
      </c>
      <c r="O62" s="27">
        <f t="shared" si="1"/>
        <v>2.1134520001935604</v>
      </c>
      <c r="P62" s="28">
        <v>4</v>
      </c>
      <c r="Q62" s="28">
        <v>21</v>
      </c>
      <c r="R62" s="29">
        <f t="shared" si="2"/>
        <v>84</v>
      </c>
      <c r="S62" s="30">
        <v>0.23499999999999999</v>
      </c>
      <c r="T62" s="30">
        <v>0</v>
      </c>
      <c r="U62" s="632">
        <v>919744</v>
      </c>
      <c r="V62" s="633">
        <v>6.3435005550562988E-3</v>
      </c>
      <c r="W62" s="634">
        <v>0</v>
      </c>
      <c r="X62" s="635">
        <v>0</v>
      </c>
      <c r="Y62" s="634">
        <v>902338</v>
      </c>
      <c r="Z62" s="635">
        <v>7.8408000000000005E-2</v>
      </c>
      <c r="AA62" s="634">
        <v>901829</v>
      </c>
      <c r="AB62" s="635">
        <v>8</v>
      </c>
      <c r="AC62" s="634">
        <v>926529</v>
      </c>
      <c r="AD62" s="635">
        <v>8</v>
      </c>
      <c r="AE62" s="634">
        <v>913486</v>
      </c>
      <c r="AF62" s="635">
        <v>8</v>
      </c>
      <c r="AG62" s="636"/>
      <c r="AH62" s="637"/>
      <c r="AI62" s="634">
        <v>0</v>
      </c>
      <c r="AJ62" s="635">
        <v>0</v>
      </c>
      <c r="AK62" s="638">
        <v>0</v>
      </c>
      <c r="AL62" s="639">
        <v>0</v>
      </c>
      <c r="AM62" s="634">
        <v>925698</v>
      </c>
      <c r="AN62" s="640">
        <v>3.1199999999999999E-2</v>
      </c>
      <c r="AO62" s="634">
        <v>902311</v>
      </c>
      <c r="AP62" s="640">
        <v>5.0000000000000001E-3</v>
      </c>
      <c r="AQ62" s="634">
        <v>910319</v>
      </c>
      <c r="AR62" s="640">
        <v>3.5714285714285712E-2</v>
      </c>
      <c r="AS62" s="634">
        <f>IF(K62="P",903360,0)</f>
        <v>903360</v>
      </c>
      <c r="AT62" s="640">
        <f>1/R62</f>
        <v>1.1904761904761904E-2</v>
      </c>
      <c r="AU62" s="634">
        <v>0</v>
      </c>
      <c r="AV62" s="640">
        <v>0</v>
      </c>
      <c r="AW62" s="634">
        <v>0</v>
      </c>
      <c r="AX62" s="640">
        <v>0</v>
      </c>
      <c r="AZ62" s="632"/>
      <c r="BA62" s="641"/>
      <c r="BD62" s="42"/>
      <c r="BI62" s="22"/>
      <c r="BJ62" s="58"/>
      <c r="BL62" s="22" t="s">
        <v>128</v>
      </c>
      <c r="BN62" s="44"/>
      <c r="BP62" s="45"/>
      <c r="BQ62" s="46"/>
      <c r="BZ62">
        <v>919744</v>
      </c>
      <c r="CA62">
        <v>940599</v>
      </c>
      <c r="CB62" t="b">
        <f t="shared" si="3"/>
        <v>0</v>
      </c>
    </row>
    <row r="63" spans="1:80" ht="15" customHeight="1" x14ac:dyDescent="0.25">
      <c r="A63" s="22">
        <v>1080</v>
      </c>
      <c r="B63" s="23" t="s">
        <v>247</v>
      </c>
      <c r="C63" s="22" t="s">
        <v>76</v>
      </c>
      <c r="D63" s="23" t="s">
        <v>138</v>
      </c>
      <c r="E63" s="23" t="s">
        <v>244</v>
      </c>
      <c r="F63" s="22" t="s">
        <v>133</v>
      </c>
      <c r="G63" s="22" t="s">
        <v>133</v>
      </c>
      <c r="H63" s="23" t="s">
        <v>134</v>
      </c>
      <c r="I63" s="24" t="s">
        <v>135</v>
      </c>
      <c r="J63" s="642">
        <v>8.6956519999999995E-2</v>
      </c>
      <c r="K63" s="26" t="s">
        <v>81</v>
      </c>
      <c r="L63" s="27">
        <v>50</v>
      </c>
      <c r="M63" s="28">
        <v>1</v>
      </c>
      <c r="N63" s="27">
        <f t="shared" si="0"/>
        <v>50</v>
      </c>
      <c r="O63" s="27">
        <f t="shared" si="1"/>
        <v>8.8060500008065024</v>
      </c>
      <c r="P63" s="28">
        <v>4</v>
      </c>
      <c r="Q63" s="28">
        <v>15</v>
      </c>
      <c r="R63" s="29">
        <f t="shared" si="2"/>
        <v>60</v>
      </c>
      <c r="S63" s="30">
        <v>0.23499999999999999</v>
      </c>
      <c r="T63" s="30">
        <v>0</v>
      </c>
      <c r="U63" s="643">
        <v>919744</v>
      </c>
      <c r="V63" s="644">
        <v>2.7027027027027029E-2</v>
      </c>
      <c r="W63" s="645">
        <v>0</v>
      </c>
      <c r="X63" s="646">
        <v>0</v>
      </c>
      <c r="Y63" s="645">
        <v>0</v>
      </c>
      <c r="Z63" s="646">
        <v>0</v>
      </c>
      <c r="AA63" s="645"/>
      <c r="AB63" s="646">
        <v>0</v>
      </c>
      <c r="AC63" s="645">
        <v>932370</v>
      </c>
      <c r="AD63" s="646">
        <v>1</v>
      </c>
      <c r="AE63" s="645">
        <v>0</v>
      </c>
      <c r="AF63" s="646">
        <v>0</v>
      </c>
      <c r="AG63" s="647"/>
      <c r="AH63" s="648"/>
      <c r="AI63" s="645">
        <v>0</v>
      </c>
      <c r="AJ63" s="646">
        <v>0</v>
      </c>
      <c r="AK63" s="649">
        <v>0</v>
      </c>
      <c r="AL63" s="650">
        <v>0</v>
      </c>
      <c r="AM63" s="645">
        <v>0</v>
      </c>
      <c r="AN63" s="651">
        <v>0</v>
      </c>
      <c r="AO63" s="645">
        <v>902311</v>
      </c>
      <c r="AP63" s="651">
        <v>4.1666000000000003E-3</v>
      </c>
      <c r="AQ63" s="645">
        <v>0</v>
      </c>
      <c r="AR63" s="651">
        <v>0</v>
      </c>
      <c r="AS63" s="645">
        <f>IF(K63="P",903360,0)</f>
        <v>903360</v>
      </c>
      <c r="AT63" s="651">
        <f>1/R63</f>
        <v>1.6666666666666666E-2</v>
      </c>
      <c r="AU63" s="645">
        <v>931919</v>
      </c>
      <c r="AV63" s="651">
        <v>1</v>
      </c>
      <c r="AW63" s="645">
        <v>932564</v>
      </c>
      <c r="AX63" s="651">
        <v>1</v>
      </c>
      <c r="AZ63" s="643"/>
      <c r="BA63" s="652"/>
      <c r="BD63" s="42"/>
      <c r="BI63" s="22"/>
      <c r="BJ63" s="58"/>
      <c r="BL63" s="22" t="s">
        <v>86</v>
      </c>
      <c r="BN63" s="44"/>
      <c r="BP63" s="45"/>
      <c r="BQ63" s="46"/>
      <c r="BZ63">
        <v>919744</v>
      </c>
      <c r="CA63">
        <v>940890</v>
      </c>
      <c r="CB63" t="b">
        <f t="shared" si="3"/>
        <v>0</v>
      </c>
    </row>
    <row r="64" spans="1:80" ht="15" customHeight="1" x14ac:dyDescent="0.25">
      <c r="A64" s="22">
        <v>1110</v>
      </c>
      <c r="B64" s="23" t="s">
        <v>248</v>
      </c>
      <c r="C64" s="22" t="s">
        <v>76</v>
      </c>
      <c r="D64" s="23" t="s">
        <v>77</v>
      </c>
      <c r="E64" s="23" t="s">
        <v>249</v>
      </c>
      <c r="F64" s="22" t="s">
        <v>86</v>
      </c>
      <c r="G64" s="22" t="s">
        <v>86</v>
      </c>
      <c r="H64" s="23" t="s">
        <v>88</v>
      </c>
      <c r="I64" s="24" t="s">
        <v>88</v>
      </c>
      <c r="J64" s="653">
        <v>8.6956519999999995E-2</v>
      </c>
      <c r="K64" s="26" t="s">
        <v>81</v>
      </c>
      <c r="L64" s="27">
        <v>0.35</v>
      </c>
      <c r="M64" s="28">
        <v>24</v>
      </c>
      <c r="N64" s="27">
        <f t="shared" si="0"/>
        <v>8.3999999999999986</v>
      </c>
      <c r="O64" s="27">
        <f t="shared" si="1"/>
        <v>1.4794164001354921</v>
      </c>
      <c r="P64" s="28">
        <v>6</v>
      </c>
      <c r="Q64" s="28">
        <v>10</v>
      </c>
      <c r="R64" s="29">
        <f t="shared" si="2"/>
        <v>60</v>
      </c>
      <c r="S64" s="30">
        <v>0.23499999999999999</v>
      </c>
      <c r="T64" s="30">
        <v>0</v>
      </c>
      <c r="U64" s="654">
        <v>915254</v>
      </c>
      <c r="V64" s="655">
        <v>4.3076923076923075E-3</v>
      </c>
      <c r="W64" s="656">
        <v>0</v>
      </c>
      <c r="X64" s="657">
        <v>0</v>
      </c>
      <c r="Y64" s="656">
        <v>902338</v>
      </c>
      <c r="Z64" s="657">
        <v>6.652799999999999E-2</v>
      </c>
      <c r="AA64" s="656">
        <v>933139</v>
      </c>
      <c r="AB64" s="657">
        <v>24</v>
      </c>
      <c r="AC64" s="656">
        <v>933556</v>
      </c>
      <c r="AD64" s="657">
        <v>24</v>
      </c>
      <c r="AE64" s="656">
        <v>0</v>
      </c>
      <c r="AF64" s="657">
        <v>0</v>
      </c>
      <c r="AG64" s="658"/>
      <c r="AH64" s="659"/>
      <c r="AI64" s="656">
        <v>932394</v>
      </c>
      <c r="AJ64" s="657">
        <v>24</v>
      </c>
      <c r="AK64" s="660">
        <v>901734</v>
      </c>
      <c r="AL64" s="661">
        <v>1</v>
      </c>
      <c r="AM64" s="656">
        <v>0</v>
      </c>
      <c r="AN64" s="662">
        <v>0</v>
      </c>
      <c r="AO64" s="656">
        <v>0</v>
      </c>
      <c r="AP64" s="662">
        <v>0</v>
      </c>
      <c r="AQ64" s="656">
        <v>0</v>
      </c>
      <c r="AR64" s="662">
        <v>0</v>
      </c>
      <c r="AS64" s="656">
        <f>IF(K64="P",903360,0)</f>
        <v>903360</v>
      </c>
      <c r="AT64" s="662">
        <f>1/R64</f>
        <v>1.6666666666666666E-2</v>
      </c>
      <c r="AU64" s="656">
        <v>0</v>
      </c>
      <c r="AV64" s="662">
        <v>0</v>
      </c>
      <c r="AW64" s="656">
        <v>0</v>
      </c>
      <c r="AX64" s="662">
        <v>0</v>
      </c>
      <c r="AZ64" s="654"/>
      <c r="BA64" s="663"/>
      <c r="BD64" s="42"/>
      <c r="BI64" s="22"/>
      <c r="BJ64" s="58"/>
      <c r="BL64" s="22" t="s">
        <v>102</v>
      </c>
      <c r="BN64" s="44"/>
      <c r="BP64" s="45"/>
      <c r="BQ64" s="46"/>
      <c r="BZ64">
        <v>915254</v>
      </c>
      <c r="CA64">
        <v>915254</v>
      </c>
      <c r="CB64" t="b">
        <f t="shared" si="3"/>
        <v>1</v>
      </c>
    </row>
    <row r="65" spans="1:80" ht="15" customHeight="1" x14ac:dyDescent="0.25">
      <c r="A65" s="22">
        <v>1125</v>
      </c>
      <c r="B65" s="23" t="s">
        <v>250</v>
      </c>
      <c r="C65" s="22" t="s">
        <v>76</v>
      </c>
      <c r="D65" s="23" t="s">
        <v>77</v>
      </c>
      <c r="E65" s="23" t="s">
        <v>249</v>
      </c>
      <c r="F65" s="22" t="s">
        <v>97</v>
      </c>
      <c r="G65" s="22" t="s">
        <v>97</v>
      </c>
      <c r="H65" s="23" t="s">
        <v>99</v>
      </c>
      <c r="I65" s="24" t="s">
        <v>99</v>
      </c>
      <c r="J65" s="664">
        <v>8.6956519999999995E-2</v>
      </c>
      <c r="K65" s="26" t="s">
        <v>81</v>
      </c>
      <c r="L65" s="27">
        <v>1</v>
      </c>
      <c r="M65" s="28">
        <v>12</v>
      </c>
      <c r="N65" s="27">
        <f t="shared" si="0"/>
        <v>12</v>
      </c>
      <c r="O65" s="27">
        <f t="shared" si="1"/>
        <v>2.1134520001935604</v>
      </c>
      <c r="P65" s="28">
        <v>4</v>
      </c>
      <c r="Q65" s="28">
        <v>10</v>
      </c>
      <c r="R65" s="29">
        <f t="shared" si="2"/>
        <v>40</v>
      </c>
      <c r="S65" s="30">
        <v>0.23499999999999999</v>
      </c>
      <c r="T65" s="30">
        <v>0</v>
      </c>
      <c r="U65" s="665">
        <v>915254</v>
      </c>
      <c r="V65" s="666">
        <v>6.1538461538461538E-3</v>
      </c>
      <c r="W65" s="667">
        <v>0</v>
      </c>
      <c r="X65" s="668">
        <v>0</v>
      </c>
      <c r="Y65" s="667">
        <v>902338</v>
      </c>
      <c r="Z65" s="668">
        <v>0.104544</v>
      </c>
      <c r="AA65" s="667">
        <v>933139</v>
      </c>
      <c r="AB65" s="668">
        <v>12</v>
      </c>
      <c r="AC65" s="667">
        <v>935186</v>
      </c>
      <c r="AD65" s="668">
        <v>12</v>
      </c>
      <c r="AE65" s="667">
        <v>0</v>
      </c>
      <c r="AF65" s="668">
        <v>0</v>
      </c>
      <c r="AG65" s="669"/>
      <c r="AH65" s="670"/>
      <c r="AI65" s="667">
        <v>934451</v>
      </c>
      <c r="AJ65" s="668">
        <v>12</v>
      </c>
      <c r="AK65" s="671">
        <v>907557</v>
      </c>
      <c r="AL65" s="672">
        <v>1</v>
      </c>
      <c r="AM65" s="667">
        <v>0</v>
      </c>
      <c r="AN65" s="673">
        <v>0</v>
      </c>
      <c r="AO65" s="667">
        <v>0</v>
      </c>
      <c r="AP65" s="673">
        <v>0</v>
      </c>
      <c r="AQ65" s="667">
        <v>0</v>
      </c>
      <c r="AR65" s="673">
        <v>0</v>
      </c>
      <c r="AS65" s="667">
        <f>IF(K65="P",903360,0)</f>
        <v>903360</v>
      </c>
      <c r="AT65" s="673">
        <f>1/R65</f>
        <v>2.5000000000000001E-2</v>
      </c>
      <c r="AU65" s="667">
        <v>0</v>
      </c>
      <c r="AV65" s="673">
        <v>0</v>
      </c>
      <c r="AW65" s="667">
        <v>0</v>
      </c>
      <c r="AX65" s="673">
        <v>0</v>
      </c>
      <c r="AZ65" s="665"/>
      <c r="BA65" s="674"/>
      <c r="BD65" s="42"/>
      <c r="BI65" s="22"/>
      <c r="BJ65" s="58"/>
      <c r="BL65" s="22" t="s">
        <v>107</v>
      </c>
      <c r="BN65" s="44"/>
      <c r="BP65" s="45"/>
      <c r="BQ65" s="46"/>
      <c r="BZ65">
        <v>915254</v>
      </c>
      <c r="CA65">
        <v>915254</v>
      </c>
      <c r="CB65" t="b">
        <f t="shared" si="3"/>
        <v>1</v>
      </c>
    </row>
    <row r="66" spans="1:80" ht="15" customHeight="1" x14ac:dyDescent="0.25">
      <c r="A66" s="22">
        <v>1127</v>
      </c>
      <c r="B66" s="23" t="s">
        <v>251</v>
      </c>
      <c r="C66" s="22" t="s">
        <v>76</v>
      </c>
      <c r="D66" s="23" t="s">
        <v>77</v>
      </c>
      <c r="E66" s="23" t="s">
        <v>249</v>
      </c>
      <c r="F66" s="22" t="s">
        <v>102</v>
      </c>
      <c r="G66" s="22" t="s">
        <v>102</v>
      </c>
      <c r="H66" s="23" t="s">
        <v>104</v>
      </c>
      <c r="I66" s="24" t="s">
        <v>104</v>
      </c>
      <c r="J66" s="675">
        <v>8.6956519999999982E-2</v>
      </c>
      <c r="K66" s="26" t="s">
        <v>81</v>
      </c>
      <c r="L66" s="27">
        <v>0.5</v>
      </c>
      <c r="M66" s="28">
        <v>12</v>
      </c>
      <c r="N66" s="27">
        <f t="shared" si="0"/>
        <v>6</v>
      </c>
      <c r="O66" s="27">
        <f t="shared" si="1"/>
        <v>1.0567260000967802</v>
      </c>
      <c r="P66" s="28">
        <v>6</v>
      </c>
      <c r="Q66" s="28">
        <v>24</v>
      </c>
      <c r="R66" s="29">
        <f t="shared" si="2"/>
        <v>144</v>
      </c>
      <c r="S66" s="30">
        <v>0.23499999999999999</v>
      </c>
      <c r="T66" s="30">
        <v>0</v>
      </c>
      <c r="U66" s="676">
        <v>915254</v>
      </c>
      <c r="V66" s="677">
        <v>3.0769230769230769E-3</v>
      </c>
      <c r="W66" s="678">
        <v>0</v>
      </c>
      <c r="X66" s="679">
        <v>0</v>
      </c>
      <c r="Y66" s="678">
        <v>902338</v>
      </c>
      <c r="Z66" s="679">
        <v>5.2271999999999999E-2</v>
      </c>
      <c r="AA66" s="678">
        <v>901781</v>
      </c>
      <c r="AB66" s="679">
        <v>12</v>
      </c>
      <c r="AC66" s="678">
        <v>919361</v>
      </c>
      <c r="AD66" s="679">
        <v>12</v>
      </c>
      <c r="AE66" s="678">
        <v>901189</v>
      </c>
      <c r="AF66" s="679">
        <v>12</v>
      </c>
      <c r="AG66" s="680"/>
      <c r="AH66" s="681"/>
      <c r="AI66" s="678">
        <v>0</v>
      </c>
      <c r="AJ66" s="679">
        <v>0</v>
      </c>
      <c r="AK66" s="682">
        <v>0</v>
      </c>
      <c r="AL66" s="683">
        <v>0</v>
      </c>
      <c r="AM66" s="678">
        <v>932317</v>
      </c>
      <c r="AN66" s="684">
        <v>1.9900000000000001E-2</v>
      </c>
      <c r="AO66" s="678">
        <v>902311</v>
      </c>
      <c r="AP66" s="684">
        <v>2.7777777777777779E-3</v>
      </c>
      <c r="AQ66" s="678">
        <v>933089</v>
      </c>
      <c r="AR66" s="684">
        <v>3.4722222222222224E-2</v>
      </c>
      <c r="AS66" s="678">
        <f>IF(K66="P",903360,0)</f>
        <v>903360</v>
      </c>
      <c r="AT66" s="684">
        <f>1/R66</f>
        <v>6.9444444444444441E-3</v>
      </c>
      <c r="AU66" s="678">
        <v>0</v>
      </c>
      <c r="AV66" s="684">
        <v>0</v>
      </c>
      <c r="AW66" s="678">
        <v>0</v>
      </c>
      <c r="AX66" s="684">
        <v>0</v>
      </c>
      <c r="AZ66" s="676"/>
      <c r="BA66" s="685"/>
      <c r="BD66" s="42"/>
      <c r="BI66" s="22"/>
      <c r="BJ66" s="58"/>
      <c r="BL66" s="22" t="s">
        <v>118</v>
      </c>
      <c r="BN66" s="44"/>
      <c r="BP66" s="45"/>
      <c r="BQ66" s="46"/>
      <c r="BZ66">
        <v>915254</v>
      </c>
      <c r="CA66">
        <v>915254</v>
      </c>
      <c r="CB66" t="b">
        <f t="shared" si="3"/>
        <v>1</v>
      </c>
    </row>
    <row r="67" spans="1:80" ht="15" customHeight="1" x14ac:dyDescent="0.25">
      <c r="A67" s="22">
        <v>1128</v>
      </c>
      <c r="B67" s="23" t="s">
        <v>252</v>
      </c>
      <c r="C67" s="22" t="s">
        <v>76</v>
      </c>
      <c r="D67" s="23" t="s">
        <v>77</v>
      </c>
      <c r="E67" s="23" t="s">
        <v>249</v>
      </c>
      <c r="F67" s="22" t="s">
        <v>91</v>
      </c>
      <c r="G67" s="22" t="s">
        <v>91</v>
      </c>
      <c r="H67" s="23" t="s">
        <v>93</v>
      </c>
      <c r="I67" s="24" t="s">
        <v>93</v>
      </c>
      <c r="J67" s="686">
        <v>8.6956519999999995E-2</v>
      </c>
      <c r="K67" s="26" t="s">
        <v>94</v>
      </c>
      <c r="L67" s="27">
        <v>0.35399999999999998</v>
      </c>
      <c r="M67" s="28">
        <v>6</v>
      </c>
      <c r="N67" s="27">
        <f t="shared" si="0"/>
        <v>2.1239999999999997</v>
      </c>
      <c r="O67" s="27">
        <f t="shared" si="1"/>
        <v>0.37408100403426015</v>
      </c>
      <c r="P67" s="28">
        <v>11</v>
      </c>
      <c r="Q67" s="28">
        <v>45</v>
      </c>
      <c r="R67" s="29">
        <f t="shared" si="2"/>
        <v>495</v>
      </c>
      <c r="S67" s="30">
        <v>0.23499999999999999</v>
      </c>
      <c r="T67" s="30">
        <v>0.05</v>
      </c>
      <c r="U67" s="687">
        <v>0</v>
      </c>
      <c r="V67" s="688">
        <v>0</v>
      </c>
      <c r="W67" s="689">
        <v>0</v>
      </c>
      <c r="X67" s="690">
        <v>0</v>
      </c>
      <c r="Y67" s="689">
        <v>0</v>
      </c>
      <c r="Z67" s="690">
        <v>0</v>
      </c>
      <c r="AA67" s="689"/>
      <c r="AB67" s="690">
        <v>0</v>
      </c>
      <c r="AC67" s="689">
        <v>0</v>
      </c>
      <c r="AD67" s="690">
        <v>0</v>
      </c>
      <c r="AE67" s="689">
        <v>0</v>
      </c>
      <c r="AF67" s="690">
        <v>0</v>
      </c>
      <c r="AG67" s="691"/>
      <c r="AH67" s="692"/>
      <c r="AI67" s="689">
        <v>0</v>
      </c>
      <c r="AJ67" s="690">
        <v>0</v>
      </c>
      <c r="AK67" s="693">
        <v>0</v>
      </c>
      <c r="AL67" s="694">
        <v>0</v>
      </c>
      <c r="AM67" s="689">
        <v>0</v>
      </c>
      <c r="AN67" s="695">
        <v>0</v>
      </c>
      <c r="AO67" s="689">
        <v>0</v>
      </c>
      <c r="AP67" s="695">
        <v>0</v>
      </c>
      <c r="AQ67" s="689">
        <v>0</v>
      </c>
      <c r="AR67" s="695">
        <v>0</v>
      </c>
      <c r="AS67" s="689">
        <v>0</v>
      </c>
      <c r="AT67" s="695">
        <v>0</v>
      </c>
      <c r="AU67" s="689">
        <v>0</v>
      </c>
      <c r="AV67" s="695">
        <v>0</v>
      </c>
      <c r="AW67" s="689">
        <v>0</v>
      </c>
      <c r="AX67" s="695">
        <v>0</v>
      </c>
      <c r="AZ67" s="687"/>
      <c r="BA67" s="696"/>
      <c r="BD67" s="42"/>
      <c r="BI67" s="22"/>
      <c r="BJ67" s="58"/>
      <c r="BL67" s="22" t="s">
        <v>86</v>
      </c>
      <c r="BN67" s="44"/>
      <c r="BP67" s="45"/>
      <c r="BQ67" s="46"/>
      <c r="BZ67">
        <v>0</v>
      </c>
      <c r="CA67">
        <v>0</v>
      </c>
      <c r="CB67" t="b">
        <f t="shared" si="3"/>
        <v>1</v>
      </c>
    </row>
    <row r="68" spans="1:80" ht="15" customHeight="1" x14ac:dyDescent="0.25">
      <c r="A68" s="22">
        <v>1135</v>
      </c>
      <c r="B68" s="23" t="s">
        <v>253</v>
      </c>
      <c r="C68" s="22" t="s">
        <v>76</v>
      </c>
      <c r="D68" s="23" t="s">
        <v>77</v>
      </c>
      <c r="E68" s="23" t="s">
        <v>249</v>
      </c>
      <c r="F68" s="22" t="s">
        <v>109</v>
      </c>
      <c r="G68" s="22" t="s">
        <v>109</v>
      </c>
      <c r="H68" s="23" t="s">
        <v>110</v>
      </c>
      <c r="I68" s="24"/>
      <c r="J68" s="697">
        <v>8.6956519999999995E-2</v>
      </c>
      <c r="K68" s="26" t="s">
        <v>81</v>
      </c>
      <c r="L68" s="27">
        <v>2</v>
      </c>
      <c r="M68" s="28">
        <v>9</v>
      </c>
      <c r="N68" s="27">
        <f t="shared" si="0"/>
        <v>18</v>
      </c>
      <c r="O68" s="27">
        <f t="shared" si="1"/>
        <v>3.170178000290341</v>
      </c>
      <c r="P68" s="28">
        <v>4</v>
      </c>
      <c r="Q68" s="28">
        <v>10</v>
      </c>
      <c r="R68" s="29">
        <f t="shared" si="2"/>
        <v>40</v>
      </c>
      <c r="S68" s="30">
        <v>0.23499999999999999</v>
      </c>
      <c r="T68" s="30">
        <v>0</v>
      </c>
      <c r="U68" s="698">
        <v>915254</v>
      </c>
      <c r="V68" s="699">
        <v>9.2307692307692299E-3</v>
      </c>
      <c r="W68" s="700"/>
      <c r="X68" s="701">
        <v>0</v>
      </c>
      <c r="Y68" s="700">
        <v>902338</v>
      </c>
      <c r="Z68" s="701">
        <v>0.15681599999999998</v>
      </c>
      <c r="AA68" s="700">
        <v>939557</v>
      </c>
      <c r="AB68" s="701">
        <v>9</v>
      </c>
      <c r="AC68" s="700">
        <v>939634</v>
      </c>
      <c r="AD68" s="701">
        <v>9</v>
      </c>
      <c r="AE68" s="700">
        <v>0</v>
      </c>
      <c r="AF68" s="701"/>
      <c r="AG68" s="702"/>
      <c r="AH68" s="703"/>
      <c r="AI68" s="700">
        <v>939353</v>
      </c>
      <c r="AJ68" s="701">
        <v>9</v>
      </c>
      <c r="AK68" s="704">
        <v>939352</v>
      </c>
      <c r="AL68" s="705">
        <v>1</v>
      </c>
      <c r="AM68" s="700">
        <v>0</v>
      </c>
      <c r="AN68" s="706">
        <v>0</v>
      </c>
      <c r="AO68" s="700">
        <v>0</v>
      </c>
      <c r="AP68" s="706">
        <v>0</v>
      </c>
      <c r="AQ68" s="700">
        <v>0</v>
      </c>
      <c r="AR68" s="706">
        <v>0</v>
      </c>
      <c r="AS68" s="700">
        <f>IF(K68="P",903360,0)</f>
        <v>903360</v>
      </c>
      <c r="AT68" s="706">
        <f>1/R68</f>
        <v>2.5000000000000001E-2</v>
      </c>
      <c r="AU68" s="700">
        <v>0</v>
      </c>
      <c r="AV68" s="706">
        <v>0</v>
      </c>
      <c r="AW68" s="700">
        <v>0</v>
      </c>
      <c r="AX68" s="706">
        <v>0</v>
      </c>
      <c r="AZ68" s="698"/>
      <c r="BA68" s="707"/>
      <c r="BD68" s="42"/>
      <c r="BI68" s="22"/>
      <c r="BJ68" s="58"/>
      <c r="BL68" s="22" t="s">
        <v>91</v>
      </c>
      <c r="BN68" s="44"/>
      <c r="BP68" s="45"/>
      <c r="BQ68" s="46"/>
      <c r="BZ68">
        <v>915254</v>
      </c>
      <c r="CA68">
        <v>915254</v>
      </c>
      <c r="CB68" t="b">
        <f t="shared" si="3"/>
        <v>1</v>
      </c>
    </row>
    <row r="69" spans="1:80" ht="15" customHeight="1" x14ac:dyDescent="0.25">
      <c r="A69" s="22">
        <v>1137</v>
      </c>
      <c r="B69" s="23" t="s">
        <v>254</v>
      </c>
      <c r="C69" s="22" t="s">
        <v>76</v>
      </c>
      <c r="D69" s="23" t="s">
        <v>77</v>
      </c>
      <c r="E69" s="23" t="s">
        <v>249</v>
      </c>
      <c r="F69" s="22" t="s">
        <v>153</v>
      </c>
      <c r="G69" s="22" t="s">
        <v>153</v>
      </c>
      <c r="H69" s="23" t="s">
        <v>154</v>
      </c>
      <c r="I69" s="24"/>
      <c r="J69" s="708"/>
      <c r="K69" s="26" t="s">
        <v>94</v>
      </c>
      <c r="L69" s="27">
        <v>0.23699999999999999</v>
      </c>
      <c r="M69" s="28">
        <v>8</v>
      </c>
      <c r="N69" s="27">
        <f t="shared" si="0"/>
        <v>1.8959999999999999</v>
      </c>
      <c r="O69" s="27">
        <f t="shared" si="1"/>
        <v>0.33392541603058257</v>
      </c>
      <c r="P69" s="28">
        <v>8</v>
      </c>
      <c r="Q69" s="28">
        <v>45</v>
      </c>
      <c r="R69" s="29">
        <f t="shared" si="2"/>
        <v>360</v>
      </c>
      <c r="S69" s="30">
        <v>0.23499999999999999</v>
      </c>
      <c r="T69" s="30">
        <v>0.05</v>
      </c>
      <c r="U69" s="709"/>
      <c r="V69" s="710"/>
      <c r="W69" s="711"/>
      <c r="X69" s="712">
        <v>0</v>
      </c>
      <c r="Y69" s="711"/>
      <c r="Z69" s="712">
        <v>0</v>
      </c>
      <c r="AA69" s="711"/>
      <c r="AB69" s="712"/>
      <c r="AC69" s="711">
        <v>0</v>
      </c>
      <c r="AD69" s="712">
        <v>0</v>
      </c>
      <c r="AE69" s="711">
        <v>0</v>
      </c>
      <c r="AF69" s="712">
        <v>0</v>
      </c>
      <c r="AG69" s="713"/>
      <c r="AH69" s="714"/>
      <c r="AI69" s="711">
        <v>0</v>
      </c>
      <c r="AJ69" s="712">
        <v>0</v>
      </c>
      <c r="AK69" s="715">
        <v>0</v>
      </c>
      <c r="AL69" s="716">
        <v>0</v>
      </c>
      <c r="AM69" s="711">
        <v>0</v>
      </c>
      <c r="AN69" s="717">
        <v>0</v>
      </c>
      <c r="AO69" s="711">
        <v>0</v>
      </c>
      <c r="AP69" s="717">
        <v>0</v>
      </c>
      <c r="AQ69" s="711">
        <v>0</v>
      </c>
      <c r="AR69" s="717">
        <v>0</v>
      </c>
      <c r="AS69" s="711">
        <v>0</v>
      </c>
      <c r="AT69" s="717">
        <v>0</v>
      </c>
      <c r="AU69" s="711">
        <v>0</v>
      </c>
      <c r="AV69" s="717">
        <v>0</v>
      </c>
      <c r="AW69" s="711">
        <v>0</v>
      </c>
      <c r="AX69" s="717">
        <v>0</v>
      </c>
      <c r="AZ69" s="709"/>
      <c r="BA69" s="718"/>
      <c r="BD69" s="42"/>
      <c r="BI69" s="22"/>
      <c r="BJ69" s="58"/>
      <c r="BL69" s="22" t="s">
        <v>255</v>
      </c>
      <c r="BN69" s="44"/>
      <c r="BP69" s="45"/>
      <c r="BQ69" s="46"/>
      <c r="CA69">
        <v>0</v>
      </c>
      <c r="CB69" t="b">
        <f t="shared" si="3"/>
        <v>1</v>
      </c>
    </row>
    <row r="70" spans="1:80" ht="15" customHeight="1" x14ac:dyDescent="0.25">
      <c r="A70" s="22">
        <v>1140</v>
      </c>
      <c r="B70" s="23" t="s">
        <v>256</v>
      </c>
      <c r="C70" s="22" t="s">
        <v>76</v>
      </c>
      <c r="D70" s="23" t="s">
        <v>77</v>
      </c>
      <c r="E70" s="23" t="s">
        <v>249</v>
      </c>
      <c r="F70" s="22" t="s">
        <v>107</v>
      </c>
      <c r="G70" s="22" t="s">
        <v>107</v>
      </c>
      <c r="H70" s="23" t="s">
        <v>115</v>
      </c>
      <c r="I70" s="24" t="s">
        <v>115</v>
      </c>
      <c r="J70" s="719">
        <v>8.6956519999999995E-2</v>
      </c>
      <c r="K70" s="26" t="s">
        <v>81</v>
      </c>
      <c r="L70" s="27">
        <v>1.5</v>
      </c>
      <c r="M70" s="28">
        <v>8</v>
      </c>
      <c r="N70" s="27">
        <f t="shared" si="0"/>
        <v>12</v>
      </c>
      <c r="O70" s="27">
        <f t="shared" si="1"/>
        <v>2.1134520001935604</v>
      </c>
      <c r="P70" s="28">
        <v>4</v>
      </c>
      <c r="Q70" s="28">
        <v>21</v>
      </c>
      <c r="R70" s="29">
        <f t="shared" si="2"/>
        <v>84</v>
      </c>
      <c r="S70" s="30">
        <v>0.23499999999999999</v>
      </c>
      <c r="T70" s="30">
        <v>0</v>
      </c>
      <c r="U70" s="720">
        <v>915254</v>
      </c>
      <c r="V70" s="721">
        <v>6.1538461538461538E-3</v>
      </c>
      <c r="W70" s="722">
        <v>0</v>
      </c>
      <c r="X70" s="723">
        <v>0</v>
      </c>
      <c r="Y70" s="722">
        <v>902338</v>
      </c>
      <c r="Z70" s="723">
        <v>0.104544</v>
      </c>
      <c r="AA70" s="722">
        <v>901781</v>
      </c>
      <c r="AB70" s="723">
        <v>8</v>
      </c>
      <c r="AC70" s="722">
        <v>935951</v>
      </c>
      <c r="AD70" s="723">
        <v>8</v>
      </c>
      <c r="AE70" s="722">
        <v>913486</v>
      </c>
      <c r="AF70" s="723">
        <v>8</v>
      </c>
      <c r="AG70" s="724"/>
      <c r="AH70" s="725"/>
      <c r="AI70" s="722">
        <v>0</v>
      </c>
      <c r="AJ70" s="723">
        <v>0</v>
      </c>
      <c r="AK70" s="726">
        <v>0</v>
      </c>
      <c r="AL70" s="727">
        <v>0</v>
      </c>
      <c r="AM70" s="722">
        <v>902310</v>
      </c>
      <c r="AN70" s="728">
        <v>3.1199999999999999E-2</v>
      </c>
      <c r="AO70" s="722">
        <v>902311</v>
      </c>
      <c r="AP70" s="728">
        <v>5.0000000000000001E-3</v>
      </c>
      <c r="AQ70" s="722">
        <v>910319</v>
      </c>
      <c r="AR70" s="728">
        <v>3.5714285714285712E-2</v>
      </c>
      <c r="AS70" s="722">
        <f t="shared" ref="AS70:AS78" si="6">IF(K70="P",903360,0)</f>
        <v>903360</v>
      </c>
      <c r="AT70" s="728">
        <f t="shared" ref="AT70:AT78" si="7">1/R70</f>
        <v>1.1904761904761904E-2</v>
      </c>
      <c r="AU70" s="722">
        <v>0</v>
      </c>
      <c r="AV70" s="728">
        <v>0</v>
      </c>
      <c r="AW70" s="722">
        <v>0</v>
      </c>
      <c r="AX70" s="728">
        <v>0</v>
      </c>
      <c r="AZ70" s="720"/>
      <c r="BA70" s="729"/>
      <c r="BD70" s="42"/>
      <c r="BI70" s="22"/>
      <c r="BJ70" s="58"/>
      <c r="BL70" s="22" t="s">
        <v>118</v>
      </c>
      <c r="BN70" s="44"/>
      <c r="BP70" s="45"/>
      <c r="BQ70" s="46"/>
      <c r="BZ70">
        <v>915254</v>
      </c>
      <c r="CA70">
        <v>915254</v>
      </c>
      <c r="CB70" t="b">
        <f t="shared" si="3"/>
        <v>1</v>
      </c>
    </row>
    <row r="71" spans="1:80" ht="15" customHeight="1" x14ac:dyDescent="0.25">
      <c r="A71" s="22">
        <v>1144</v>
      </c>
      <c r="B71" s="23" t="s">
        <v>257</v>
      </c>
      <c r="C71" s="22" t="s">
        <v>76</v>
      </c>
      <c r="D71" s="23" t="s">
        <v>77</v>
      </c>
      <c r="E71" s="23" t="s">
        <v>249</v>
      </c>
      <c r="F71" s="22" t="s">
        <v>113</v>
      </c>
      <c r="G71" s="22" t="s">
        <v>113</v>
      </c>
      <c r="H71" s="23" t="s">
        <v>120</v>
      </c>
      <c r="I71" s="24" t="s">
        <v>120</v>
      </c>
      <c r="J71" s="730">
        <v>8.6956519999999995E-2</v>
      </c>
      <c r="K71" s="26" t="s">
        <v>81</v>
      </c>
      <c r="L71" s="27">
        <v>1.75</v>
      </c>
      <c r="M71" s="28">
        <v>8</v>
      </c>
      <c r="N71" s="27">
        <f t="shared" si="0"/>
        <v>14</v>
      </c>
      <c r="O71" s="27">
        <f t="shared" si="1"/>
        <v>2.4656940002258207</v>
      </c>
      <c r="P71" s="28">
        <v>5</v>
      </c>
      <c r="Q71" s="28">
        <v>15</v>
      </c>
      <c r="R71" s="29">
        <f t="shared" si="2"/>
        <v>75</v>
      </c>
      <c r="S71" s="30">
        <v>0.23499999999999999</v>
      </c>
      <c r="T71" s="30">
        <v>0</v>
      </c>
      <c r="U71" s="731">
        <v>915254</v>
      </c>
      <c r="V71" s="732">
        <v>7.1794871794871795E-3</v>
      </c>
      <c r="W71" s="733">
        <v>0</v>
      </c>
      <c r="X71" s="734">
        <v>0</v>
      </c>
      <c r="Y71" s="733">
        <v>902338</v>
      </c>
      <c r="Z71" s="734">
        <v>0.12196799999999999</v>
      </c>
      <c r="AA71" s="733">
        <v>901781</v>
      </c>
      <c r="AB71" s="734">
        <v>8</v>
      </c>
      <c r="AC71" s="733">
        <v>930635</v>
      </c>
      <c r="AD71" s="734">
        <v>8</v>
      </c>
      <c r="AE71" s="733">
        <v>911881</v>
      </c>
      <c r="AF71" s="734">
        <v>8</v>
      </c>
      <c r="AG71" s="735"/>
      <c r="AH71" s="736"/>
      <c r="AI71" s="733">
        <v>0</v>
      </c>
      <c r="AJ71" s="734">
        <v>0</v>
      </c>
      <c r="AK71" s="737">
        <v>0</v>
      </c>
      <c r="AL71" s="738">
        <v>0</v>
      </c>
      <c r="AM71" s="733">
        <v>902310</v>
      </c>
      <c r="AN71" s="739">
        <v>3.3099999999999997E-2</v>
      </c>
      <c r="AO71" s="733">
        <v>923266</v>
      </c>
      <c r="AP71" s="739">
        <v>5.0000000000000001E-3</v>
      </c>
      <c r="AQ71" s="733">
        <v>910319</v>
      </c>
      <c r="AR71" s="739">
        <v>5.3333333333333337E-2</v>
      </c>
      <c r="AS71" s="733">
        <f t="shared" si="6"/>
        <v>903360</v>
      </c>
      <c r="AT71" s="739">
        <f t="shared" si="7"/>
        <v>1.3333333333333334E-2</v>
      </c>
      <c r="AU71" s="733">
        <v>0</v>
      </c>
      <c r="AV71" s="739">
        <v>0</v>
      </c>
      <c r="AW71" s="733">
        <v>0</v>
      </c>
      <c r="AX71" s="739">
        <v>0</v>
      </c>
      <c r="AZ71" s="731"/>
      <c r="BA71" s="740"/>
      <c r="BD71" s="42"/>
      <c r="BI71" s="22"/>
      <c r="BJ71" s="58"/>
      <c r="BL71" s="22" t="s">
        <v>258</v>
      </c>
      <c r="BN71" s="44"/>
      <c r="BP71" s="45"/>
      <c r="BQ71" s="46"/>
      <c r="BZ71">
        <v>915254</v>
      </c>
      <c r="CA71">
        <v>915254</v>
      </c>
      <c r="CB71" t="b">
        <f t="shared" si="3"/>
        <v>1</v>
      </c>
    </row>
    <row r="72" spans="1:80" ht="15" customHeight="1" x14ac:dyDescent="0.25">
      <c r="A72" s="22">
        <v>1159</v>
      </c>
      <c r="B72" s="23" t="s">
        <v>259</v>
      </c>
      <c r="C72" s="22" t="s">
        <v>76</v>
      </c>
      <c r="D72" s="23" t="s">
        <v>77</v>
      </c>
      <c r="E72" s="23" t="s">
        <v>249</v>
      </c>
      <c r="F72" s="22" t="s">
        <v>118</v>
      </c>
      <c r="G72" s="22" t="s">
        <v>118</v>
      </c>
      <c r="H72" s="23" t="s">
        <v>125</v>
      </c>
      <c r="I72" s="24" t="s">
        <v>125</v>
      </c>
      <c r="J72" s="741">
        <v>8.6956519999999995E-2</v>
      </c>
      <c r="K72" s="26" t="s">
        <v>81</v>
      </c>
      <c r="L72" s="27">
        <v>2.25</v>
      </c>
      <c r="M72" s="28">
        <v>6</v>
      </c>
      <c r="N72" s="27">
        <f t="shared" ref="N72:N135" si="8">L72*M72</f>
        <v>13.5</v>
      </c>
      <c r="O72" s="27">
        <f t="shared" ref="O72:O135" si="9">N72/$O$6</f>
        <v>2.3776335002177555</v>
      </c>
      <c r="P72" s="28">
        <v>4</v>
      </c>
      <c r="Q72" s="28">
        <v>20</v>
      </c>
      <c r="R72" s="29">
        <f t="shared" ref="R72:R78" si="10">P72*Q72</f>
        <v>80</v>
      </c>
      <c r="S72" s="30">
        <v>0.23499999999999999</v>
      </c>
      <c r="T72" s="30">
        <v>0</v>
      </c>
      <c r="U72" s="742">
        <v>915254</v>
      </c>
      <c r="V72" s="743">
        <v>6.9230769230769242E-3</v>
      </c>
      <c r="W72" s="744">
        <v>0</v>
      </c>
      <c r="X72" s="745">
        <v>0</v>
      </c>
      <c r="Y72" s="744">
        <v>902338</v>
      </c>
      <c r="Z72" s="745">
        <v>0.11761199999999999</v>
      </c>
      <c r="AA72" s="744">
        <v>901781</v>
      </c>
      <c r="AB72" s="745">
        <v>6</v>
      </c>
      <c r="AC72" s="744">
        <v>915284</v>
      </c>
      <c r="AD72" s="745">
        <v>6</v>
      </c>
      <c r="AE72" s="744">
        <v>911881</v>
      </c>
      <c r="AF72" s="745">
        <v>6</v>
      </c>
      <c r="AG72" s="746"/>
      <c r="AH72" s="747"/>
      <c r="AI72" s="744">
        <v>0</v>
      </c>
      <c r="AJ72" s="745">
        <v>0</v>
      </c>
      <c r="AK72" s="748">
        <v>0</v>
      </c>
      <c r="AL72" s="749">
        <v>0</v>
      </c>
      <c r="AM72" s="744">
        <v>932442</v>
      </c>
      <c r="AN72" s="750">
        <v>2.7699999999999999E-2</v>
      </c>
      <c r="AO72" s="744">
        <v>902311</v>
      </c>
      <c r="AP72" s="750">
        <v>4.3750000000000004E-3</v>
      </c>
      <c r="AQ72" s="744">
        <v>933089</v>
      </c>
      <c r="AR72" s="750">
        <v>3.7499999999999999E-2</v>
      </c>
      <c r="AS72" s="744">
        <f t="shared" si="6"/>
        <v>903360</v>
      </c>
      <c r="AT72" s="750">
        <f t="shared" si="7"/>
        <v>1.2500000000000001E-2</v>
      </c>
      <c r="AU72" s="744">
        <v>0</v>
      </c>
      <c r="AV72" s="750">
        <v>0</v>
      </c>
      <c r="AW72" s="744">
        <v>0</v>
      </c>
      <c r="AX72" s="750">
        <v>0</v>
      </c>
      <c r="AZ72" s="742"/>
      <c r="BA72" s="751"/>
      <c r="BD72" s="42"/>
      <c r="BI72" s="22"/>
      <c r="BJ72" s="58"/>
      <c r="BL72" s="22" t="s">
        <v>258</v>
      </c>
      <c r="BN72" s="44"/>
      <c r="BP72" s="45"/>
      <c r="BQ72" s="46"/>
      <c r="BZ72">
        <v>915254</v>
      </c>
      <c r="CA72">
        <v>915254</v>
      </c>
      <c r="CB72" t="b">
        <f t="shared" si="3"/>
        <v>1</v>
      </c>
    </row>
    <row r="73" spans="1:80" ht="15" customHeight="1" x14ac:dyDescent="0.25">
      <c r="A73" s="22">
        <v>1161</v>
      </c>
      <c r="B73" s="23" t="s">
        <v>260</v>
      </c>
      <c r="C73" s="22" t="s">
        <v>76</v>
      </c>
      <c r="D73" s="23" t="s">
        <v>77</v>
      </c>
      <c r="E73" s="23" t="s">
        <v>249</v>
      </c>
      <c r="F73" s="22" t="s">
        <v>123</v>
      </c>
      <c r="G73" s="22" t="s">
        <v>123</v>
      </c>
      <c r="H73" s="23" t="s">
        <v>130</v>
      </c>
      <c r="I73" s="24" t="s">
        <v>130</v>
      </c>
      <c r="J73" s="752">
        <v>8.6956519999999995E-2</v>
      </c>
      <c r="K73" s="26" t="s">
        <v>81</v>
      </c>
      <c r="L73" s="27">
        <v>3</v>
      </c>
      <c r="M73" s="28">
        <v>6</v>
      </c>
      <c r="N73" s="27">
        <f t="shared" si="8"/>
        <v>18</v>
      </c>
      <c r="O73" s="27">
        <f t="shared" si="9"/>
        <v>3.170178000290341</v>
      </c>
      <c r="P73" s="28">
        <v>4</v>
      </c>
      <c r="Q73" s="28">
        <v>15</v>
      </c>
      <c r="R73" s="29">
        <f t="shared" si="10"/>
        <v>60</v>
      </c>
      <c r="S73" s="30">
        <v>0.23499999999999999</v>
      </c>
      <c r="T73" s="30">
        <v>0</v>
      </c>
      <c r="U73" s="753">
        <v>915254</v>
      </c>
      <c r="V73" s="754">
        <v>9.2307692307692299E-3</v>
      </c>
      <c r="W73" s="755">
        <v>0</v>
      </c>
      <c r="X73" s="756">
        <v>0</v>
      </c>
      <c r="Y73" s="755">
        <v>902338</v>
      </c>
      <c r="Z73" s="756">
        <v>0.15681600000000001</v>
      </c>
      <c r="AA73" s="755">
        <v>901781</v>
      </c>
      <c r="AB73" s="756">
        <v>6</v>
      </c>
      <c r="AC73" s="755">
        <v>935952</v>
      </c>
      <c r="AD73" s="756">
        <v>6</v>
      </c>
      <c r="AE73" s="755">
        <v>913487</v>
      </c>
      <c r="AF73" s="756">
        <v>6</v>
      </c>
      <c r="AG73" s="757"/>
      <c r="AH73" s="758"/>
      <c r="AI73" s="755">
        <v>0</v>
      </c>
      <c r="AJ73" s="756">
        <v>0</v>
      </c>
      <c r="AK73" s="759">
        <v>0</v>
      </c>
      <c r="AL73" s="760">
        <v>0</v>
      </c>
      <c r="AM73" s="755">
        <v>902310</v>
      </c>
      <c r="AN73" s="761">
        <v>3.6200000000000003E-2</v>
      </c>
      <c r="AO73" s="755">
        <v>923266</v>
      </c>
      <c r="AP73" s="761">
        <v>8.1665999999999996E-3</v>
      </c>
      <c r="AQ73" s="755">
        <v>910319</v>
      </c>
      <c r="AR73" s="761">
        <v>0.05</v>
      </c>
      <c r="AS73" s="755">
        <f t="shared" si="6"/>
        <v>903360</v>
      </c>
      <c r="AT73" s="761">
        <f t="shared" si="7"/>
        <v>1.6666666666666666E-2</v>
      </c>
      <c r="AU73" s="755">
        <v>0</v>
      </c>
      <c r="AV73" s="761">
        <v>0</v>
      </c>
      <c r="AW73" s="755">
        <v>0</v>
      </c>
      <c r="AX73" s="761">
        <v>0</v>
      </c>
      <c r="AZ73" s="753"/>
      <c r="BA73" s="762"/>
      <c r="BD73" s="42"/>
      <c r="BI73" s="22"/>
      <c r="BJ73" s="58"/>
      <c r="BL73" s="22" t="s">
        <v>258</v>
      </c>
      <c r="BN73" s="44"/>
      <c r="BP73" s="45"/>
      <c r="BQ73" s="46"/>
      <c r="BZ73">
        <v>915254</v>
      </c>
      <c r="CA73">
        <v>915254</v>
      </c>
      <c r="CB73" t="b">
        <f t="shared" ref="CB73:CB136" si="11">+BZ73=CA73</f>
        <v>1</v>
      </c>
    </row>
    <row r="74" spans="1:80" ht="15" customHeight="1" x14ac:dyDescent="0.25">
      <c r="A74" s="22">
        <v>1180</v>
      </c>
      <c r="B74" s="23" t="s">
        <v>261</v>
      </c>
      <c r="C74" s="22" t="s">
        <v>76</v>
      </c>
      <c r="D74" s="23" t="s">
        <v>77</v>
      </c>
      <c r="E74" s="23" t="s">
        <v>249</v>
      </c>
      <c r="F74" s="22" t="s">
        <v>133</v>
      </c>
      <c r="G74" s="22" t="s">
        <v>133</v>
      </c>
      <c r="H74" s="23" t="s">
        <v>134</v>
      </c>
      <c r="I74" s="24" t="s">
        <v>135</v>
      </c>
      <c r="J74" s="763">
        <v>8.6956519999999995E-2</v>
      </c>
      <c r="K74" s="26" t="s">
        <v>81</v>
      </c>
      <c r="L74" s="27">
        <v>64</v>
      </c>
      <c r="M74" s="28">
        <v>1</v>
      </c>
      <c r="N74" s="27">
        <f t="shared" si="8"/>
        <v>64</v>
      </c>
      <c r="O74" s="27">
        <f t="shared" si="9"/>
        <v>11.271744001032323</v>
      </c>
      <c r="P74" s="28">
        <v>4</v>
      </c>
      <c r="Q74" s="28">
        <v>15</v>
      </c>
      <c r="R74" s="29">
        <f t="shared" si="10"/>
        <v>60</v>
      </c>
      <c r="S74" s="30">
        <v>0.23499999999999999</v>
      </c>
      <c r="T74" s="30">
        <v>0.05</v>
      </c>
      <c r="U74" s="764">
        <v>915254</v>
      </c>
      <c r="V74" s="765">
        <v>3.2786885245901641E-2</v>
      </c>
      <c r="W74" s="766">
        <v>0</v>
      </c>
      <c r="X74" s="767">
        <v>0</v>
      </c>
      <c r="Y74" s="766">
        <v>0</v>
      </c>
      <c r="Z74" s="767">
        <v>0</v>
      </c>
      <c r="AA74" s="766"/>
      <c r="AB74" s="767">
        <v>0</v>
      </c>
      <c r="AC74" s="766">
        <v>932675</v>
      </c>
      <c r="AD74" s="767">
        <v>1</v>
      </c>
      <c r="AE74" s="766">
        <v>0</v>
      </c>
      <c r="AF74" s="767">
        <v>0</v>
      </c>
      <c r="AG74" s="768"/>
      <c r="AH74" s="769"/>
      <c r="AI74" s="766">
        <v>0</v>
      </c>
      <c r="AJ74" s="767">
        <v>0</v>
      </c>
      <c r="AK74" s="770">
        <v>0</v>
      </c>
      <c r="AL74" s="771">
        <v>0</v>
      </c>
      <c r="AM74" s="766">
        <v>0</v>
      </c>
      <c r="AN74" s="772">
        <v>0</v>
      </c>
      <c r="AO74" s="766">
        <v>902311</v>
      </c>
      <c r="AP74" s="772">
        <v>1.6666000000000001E-3</v>
      </c>
      <c r="AQ74" s="766">
        <v>0</v>
      </c>
      <c r="AR74" s="772">
        <v>0</v>
      </c>
      <c r="AS74" s="766">
        <f t="shared" si="6"/>
        <v>903360</v>
      </c>
      <c r="AT74" s="772">
        <f t="shared" si="7"/>
        <v>1.6666666666666666E-2</v>
      </c>
      <c r="AU74" s="766">
        <v>931919</v>
      </c>
      <c r="AV74" s="772">
        <v>1</v>
      </c>
      <c r="AW74" s="766">
        <v>932564</v>
      </c>
      <c r="AX74" s="772">
        <v>1</v>
      </c>
      <c r="AZ74" s="764"/>
      <c r="BA74" s="773"/>
      <c r="BD74" s="42"/>
      <c r="BI74" s="22"/>
      <c r="BJ74" s="58"/>
      <c r="BL74" s="22" t="s">
        <v>262</v>
      </c>
      <c r="BN74" s="44"/>
      <c r="BP74" s="45"/>
      <c r="BQ74" s="46"/>
      <c r="BZ74">
        <v>915254</v>
      </c>
      <c r="CA74">
        <v>937806</v>
      </c>
      <c r="CB74" t="b">
        <f t="shared" si="11"/>
        <v>0</v>
      </c>
    </row>
    <row r="75" spans="1:80" ht="15" customHeight="1" x14ac:dyDescent="0.25">
      <c r="A75" s="22">
        <v>1210</v>
      </c>
      <c r="B75" s="23" t="s">
        <v>263</v>
      </c>
      <c r="C75" s="22" t="s">
        <v>76</v>
      </c>
      <c r="D75" s="23" t="s">
        <v>77</v>
      </c>
      <c r="E75" s="23" t="s">
        <v>264</v>
      </c>
      <c r="F75" s="22" t="s">
        <v>86</v>
      </c>
      <c r="G75" s="22" t="s">
        <v>86</v>
      </c>
      <c r="H75" s="23" t="s">
        <v>88</v>
      </c>
      <c r="I75" s="24" t="s">
        <v>88</v>
      </c>
      <c r="J75" s="774">
        <v>8.6956519999999995E-2</v>
      </c>
      <c r="K75" s="26" t="s">
        <v>81</v>
      </c>
      <c r="L75" s="27">
        <v>0.35</v>
      </c>
      <c r="M75" s="28">
        <v>24</v>
      </c>
      <c r="N75" s="27">
        <f t="shared" si="8"/>
        <v>8.3999999999999986</v>
      </c>
      <c r="O75" s="27">
        <f t="shared" si="9"/>
        <v>1.4794164001354921</v>
      </c>
      <c r="P75" s="28">
        <v>6</v>
      </c>
      <c r="Q75" s="28">
        <v>10</v>
      </c>
      <c r="R75" s="29">
        <f t="shared" si="10"/>
        <v>60</v>
      </c>
      <c r="S75" s="30">
        <v>0.23499999999999999</v>
      </c>
      <c r="T75" s="30">
        <v>0</v>
      </c>
      <c r="U75" s="775">
        <v>902314</v>
      </c>
      <c r="V75" s="776">
        <v>4.3076923076923075E-3</v>
      </c>
      <c r="W75" s="777">
        <v>0</v>
      </c>
      <c r="X75" s="778">
        <v>0</v>
      </c>
      <c r="Y75" s="777">
        <v>902338</v>
      </c>
      <c r="Z75" s="778">
        <v>6.48648E-2</v>
      </c>
      <c r="AA75" s="777">
        <v>933139</v>
      </c>
      <c r="AB75" s="778">
        <v>24</v>
      </c>
      <c r="AC75" s="777">
        <v>935117</v>
      </c>
      <c r="AD75" s="778">
        <v>24</v>
      </c>
      <c r="AE75" s="777">
        <v>0</v>
      </c>
      <c r="AF75" s="778">
        <v>0</v>
      </c>
      <c r="AG75" s="779"/>
      <c r="AH75" s="780"/>
      <c r="AI75" s="777">
        <v>932394</v>
      </c>
      <c r="AJ75" s="778">
        <v>24</v>
      </c>
      <c r="AK75" s="781">
        <v>901734</v>
      </c>
      <c r="AL75" s="782">
        <v>1</v>
      </c>
      <c r="AM75" s="777">
        <v>0</v>
      </c>
      <c r="AN75" s="783">
        <v>0</v>
      </c>
      <c r="AO75" s="777">
        <v>0</v>
      </c>
      <c r="AP75" s="783">
        <v>0</v>
      </c>
      <c r="AQ75" s="777">
        <v>0</v>
      </c>
      <c r="AR75" s="783">
        <v>0</v>
      </c>
      <c r="AS75" s="777">
        <f t="shared" si="6"/>
        <v>903360</v>
      </c>
      <c r="AT75" s="783">
        <f t="shared" si="7"/>
        <v>1.6666666666666666E-2</v>
      </c>
      <c r="AU75" s="777">
        <v>0</v>
      </c>
      <c r="AV75" s="783">
        <v>0</v>
      </c>
      <c r="AW75" s="777">
        <v>0</v>
      </c>
      <c r="AX75" s="783">
        <v>0</v>
      </c>
      <c r="AZ75" s="775"/>
      <c r="BA75" s="784"/>
      <c r="BD75" s="42"/>
      <c r="BI75" s="22"/>
      <c r="BJ75" s="58"/>
      <c r="BL75" s="22" t="s">
        <v>262</v>
      </c>
      <c r="BN75" s="44"/>
      <c r="BP75" s="45"/>
      <c r="BQ75" s="46"/>
      <c r="BZ75">
        <v>902314</v>
      </c>
      <c r="CA75">
        <v>902314</v>
      </c>
      <c r="CB75" t="b">
        <f t="shared" si="11"/>
        <v>1</v>
      </c>
    </row>
    <row r="76" spans="1:80" ht="15" customHeight="1" x14ac:dyDescent="0.25">
      <c r="A76" s="22">
        <v>1227</v>
      </c>
      <c r="B76" s="23" t="s">
        <v>265</v>
      </c>
      <c r="C76" s="22" t="s">
        <v>76</v>
      </c>
      <c r="D76" s="23" t="s">
        <v>77</v>
      </c>
      <c r="E76" s="23" t="s">
        <v>264</v>
      </c>
      <c r="F76" s="22" t="s">
        <v>102</v>
      </c>
      <c r="G76" s="22" t="s">
        <v>102</v>
      </c>
      <c r="H76" s="23" t="s">
        <v>104</v>
      </c>
      <c r="I76" s="24" t="s">
        <v>104</v>
      </c>
      <c r="J76" s="785">
        <v>8.6956519999999982E-2</v>
      </c>
      <c r="K76" s="26" t="s">
        <v>81</v>
      </c>
      <c r="L76" s="27">
        <v>0.5</v>
      </c>
      <c r="M76" s="28">
        <v>12</v>
      </c>
      <c r="N76" s="27">
        <f t="shared" si="8"/>
        <v>6</v>
      </c>
      <c r="O76" s="27">
        <f t="shared" si="9"/>
        <v>1.0567260000967802</v>
      </c>
      <c r="P76" s="28">
        <v>6</v>
      </c>
      <c r="Q76" s="28">
        <v>24</v>
      </c>
      <c r="R76" s="29">
        <f t="shared" si="10"/>
        <v>144</v>
      </c>
      <c r="S76" s="30">
        <v>0.23499999999999999</v>
      </c>
      <c r="T76" s="30">
        <v>0</v>
      </c>
      <c r="U76" s="786">
        <v>902314</v>
      </c>
      <c r="V76" s="787">
        <v>3.0769230769230769E-3</v>
      </c>
      <c r="W76" s="788">
        <v>0</v>
      </c>
      <c r="X76" s="789">
        <v>0</v>
      </c>
      <c r="Y76" s="788">
        <v>902338</v>
      </c>
      <c r="Z76" s="789">
        <v>4.9896000000000003E-2</v>
      </c>
      <c r="AA76" s="788">
        <v>901829</v>
      </c>
      <c r="AB76" s="789">
        <v>12</v>
      </c>
      <c r="AC76" s="788">
        <v>911764</v>
      </c>
      <c r="AD76" s="789">
        <v>12</v>
      </c>
      <c r="AE76" s="788">
        <v>901189</v>
      </c>
      <c r="AF76" s="789">
        <v>12</v>
      </c>
      <c r="AG76" s="790"/>
      <c r="AH76" s="791"/>
      <c r="AI76" s="788">
        <v>0</v>
      </c>
      <c r="AJ76" s="789">
        <v>0</v>
      </c>
      <c r="AK76" s="792">
        <v>0</v>
      </c>
      <c r="AL76" s="793">
        <v>0</v>
      </c>
      <c r="AM76" s="788">
        <v>932317</v>
      </c>
      <c r="AN76" s="794">
        <v>1.9900000000000001E-2</v>
      </c>
      <c r="AO76" s="788">
        <v>902311</v>
      </c>
      <c r="AP76" s="794">
        <v>2.7777777777777779E-3</v>
      </c>
      <c r="AQ76" s="788">
        <v>933089</v>
      </c>
      <c r="AR76" s="794">
        <v>3.4722222222222224E-2</v>
      </c>
      <c r="AS76" s="788">
        <f t="shared" si="6"/>
        <v>903360</v>
      </c>
      <c r="AT76" s="794">
        <f t="shared" si="7"/>
        <v>6.9444444444444441E-3</v>
      </c>
      <c r="AU76" s="788">
        <v>0</v>
      </c>
      <c r="AV76" s="794">
        <v>0</v>
      </c>
      <c r="AW76" s="788">
        <v>0</v>
      </c>
      <c r="AX76" s="794">
        <v>0</v>
      </c>
      <c r="AZ76" s="786"/>
      <c r="BA76" s="795"/>
      <c r="BD76" s="42"/>
      <c r="BI76" s="22"/>
      <c r="BJ76" s="58"/>
      <c r="BL76" s="22" t="s">
        <v>266</v>
      </c>
      <c r="BN76" s="44"/>
      <c r="BP76" s="45"/>
      <c r="BQ76" s="46"/>
      <c r="BZ76">
        <v>902314</v>
      </c>
      <c r="CA76">
        <v>902314</v>
      </c>
      <c r="CB76" t="b">
        <f t="shared" si="11"/>
        <v>1</v>
      </c>
    </row>
    <row r="77" spans="1:80" ht="15" customHeight="1" x14ac:dyDescent="0.25">
      <c r="A77" s="22">
        <v>1240</v>
      </c>
      <c r="B77" s="23" t="s">
        <v>267</v>
      </c>
      <c r="C77" s="22" t="s">
        <v>76</v>
      </c>
      <c r="D77" s="23" t="s">
        <v>77</v>
      </c>
      <c r="E77" s="23" t="s">
        <v>264</v>
      </c>
      <c r="F77" s="22" t="s">
        <v>107</v>
      </c>
      <c r="G77" s="22" t="s">
        <v>107</v>
      </c>
      <c r="H77" s="23" t="s">
        <v>115</v>
      </c>
      <c r="I77" s="24" t="s">
        <v>115</v>
      </c>
      <c r="J77" s="796">
        <v>8.6956519999999995E-2</v>
      </c>
      <c r="K77" s="26" t="s">
        <v>81</v>
      </c>
      <c r="L77" s="27">
        <v>1.5</v>
      </c>
      <c r="M77" s="28">
        <v>8</v>
      </c>
      <c r="N77" s="27">
        <f t="shared" si="8"/>
        <v>12</v>
      </c>
      <c r="O77" s="27">
        <f t="shared" si="9"/>
        <v>2.1134520001935604</v>
      </c>
      <c r="P77" s="28">
        <v>4</v>
      </c>
      <c r="Q77" s="28">
        <v>21</v>
      </c>
      <c r="R77" s="29">
        <f t="shared" si="10"/>
        <v>84</v>
      </c>
      <c r="S77" s="30">
        <v>0.23499999999999999</v>
      </c>
      <c r="T77" s="30">
        <v>0</v>
      </c>
      <c r="U77" s="797">
        <v>902314</v>
      </c>
      <c r="V77" s="798">
        <v>6.1538461538461538E-3</v>
      </c>
      <c r="W77" s="799">
        <v>0</v>
      </c>
      <c r="X77" s="800">
        <v>0</v>
      </c>
      <c r="Y77" s="799">
        <v>902338</v>
      </c>
      <c r="Z77" s="800">
        <v>9.9792000000000006E-2</v>
      </c>
      <c r="AA77" s="799">
        <v>901829</v>
      </c>
      <c r="AB77" s="800">
        <v>8</v>
      </c>
      <c r="AC77" s="799">
        <v>925401</v>
      </c>
      <c r="AD77" s="800">
        <v>8</v>
      </c>
      <c r="AE77" s="799">
        <v>913486</v>
      </c>
      <c r="AF77" s="800">
        <v>8</v>
      </c>
      <c r="AG77" s="801"/>
      <c r="AH77" s="802"/>
      <c r="AI77" s="799">
        <v>0</v>
      </c>
      <c r="AJ77" s="800">
        <v>0</v>
      </c>
      <c r="AK77" s="803">
        <v>0</v>
      </c>
      <c r="AL77" s="804">
        <v>0</v>
      </c>
      <c r="AM77" s="799">
        <v>902310</v>
      </c>
      <c r="AN77" s="805">
        <v>3.1199999999999999E-2</v>
      </c>
      <c r="AO77" s="799">
        <v>902311</v>
      </c>
      <c r="AP77" s="805">
        <v>5.0000000000000001E-3</v>
      </c>
      <c r="AQ77" s="799">
        <v>910319</v>
      </c>
      <c r="AR77" s="805">
        <v>3.5714285714285712E-2</v>
      </c>
      <c r="AS77" s="799">
        <f t="shared" si="6"/>
        <v>903360</v>
      </c>
      <c r="AT77" s="805">
        <f t="shared" si="7"/>
        <v>1.1904761904761904E-2</v>
      </c>
      <c r="AU77" s="799">
        <v>0</v>
      </c>
      <c r="AV77" s="805">
        <v>0</v>
      </c>
      <c r="AW77" s="799">
        <v>0</v>
      </c>
      <c r="AX77" s="805">
        <v>0</v>
      </c>
      <c r="AZ77" s="797"/>
      <c r="BA77" s="806"/>
      <c r="BD77" s="42"/>
      <c r="BI77" s="22"/>
      <c r="BJ77" s="58"/>
      <c r="BL77" s="22" t="s">
        <v>255</v>
      </c>
      <c r="BN77" s="44"/>
      <c r="BP77" s="45"/>
      <c r="BQ77" s="46"/>
      <c r="BZ77">
        <v>902314</v>
      </c>
      <c r="CA77">
        <v>902314</v>
      </c>
      <c r="CB77" t="b">
        <f t="shared" si="11"/>
        <v>1</v>
      </c>
    </row>
    <row r="78" spans="1:80" ht="15" customHeight="1" x14ac:dyDescent="0.25">
      <c r="A78" s="22">
        <v>1259</v>
      </c>
      <c r="B78" s="23" t="s">
        <v>268</v>
      </c>
      <c r="C78" s="22" t="s">
        <v>76</v>
      </c>
      <c r="D78" s="23" t="s">
        <v>77</v>
      </c>
      <c r="E78" s="23" t="s">
        <v>264</v>
      </c>
      <c r="F78" s="22" t="s">
        <v>118</v>
      </c>
      <c r="G78" s="22" t="s">
        <v>118</v>
      </c>
      <c r="H78" s="23" t="s">
        <v>125</v>
      </c>
      <c r="I78" s="24" t="s">
        <v>125</v>
      </c>
      <c r="J78" s="807">
        <v>8.6956519999999995E-2</v>
      </c>
      <c r="K78" s="26" t="s">
        <v>81</v>
      </c>
      <c r="L78" s="27">
        <v>2.25</v>
      </c>
      <c r="M78" s="28">
        <v>6</v>
      </c>
      <c r="N78" s="27">
        <f t="shared" si="8"/>
        <v>13.5</v>
      </c>
      <c r="O78" s="27">
        <f t="shared" si="9"/>
        <v>2.3776335002177555</v>
      </c>
      <c r="P78" s="28">
        <v>4</v>
      </c>
      <c r="Q78" s="28">
        <v>20</v>
      </c>
      <c r="R78" s="29">
        <f t="shared" si="10"/>
        <v>80</v>
      </c>
      <c r="S78" s="30">
        <v>0.23499999999999999</v>
      </c>
      <c r="T78" s="30">
        <v>0</v>
      </c>
      <c r="U78" s="808">
        <v>902314</v>
      </c>
      <c r="V78" s="809">
        <v>6.9230769230769242E-3</v>
      </c>
      <c r="W78" s="810">
        <v>0</v>
      </c>
      <c r="X78" s="811">
        <v>0</v>
      </c>
      <c r="Y78" s="810">
        <v>902338</v>
      </c>
      <c r="Z78" s="811">
        <v>0.112266</v>
      </c>
      <c r="AA78" s="810">
        <v>901829</v>
      </c>
      <c r="AB78" s="811">
        <v>6</v>
      </c>
      <c r="AC78" s="810">
        <v>925402</v>
      </c>
      <c r="AD78" s="811">
        <v>6</v>
      </c>
      <c r="AE78" s="810">
        <v>911881</v>
      </c>
      <c r="AF78" s="811">
        <v>6</v>
      </c>
      <c r="AG78" s="812"/>
      <c r="AH78" s="813"/>
      <c r="AI78" s="810">
        <v>0</v>
      </c>
      <c r="AJ78" s="811">
        <v>0</v>
      </c>
      <c r="AK78" s="814">
        <v>0</v>
      </c>
      <c r="AL78" s="815">
        <v>0</v>
      </c>
      <c r="AM78" s="810">
        <v>932442</v>
      </c>
      <c r="AN78" s="816">
        <v>2.7699999999999999E-2</v>
      </c>
      <c r="AO78" s="810">
        <v>902311</v>
      </c>
      <c r="AP78" s="816">
        <v>4.3750000000000004E-3</v>
      </c>
      <c r="AQ78" s="810">
        <v>933089</v>
      </c>
      <c r="AR78" s="816">
        <v>3.7499999999999999E-2</v>
      </c>
      <c r="AS78" s="810">
        <f t="shared" si="6"/>
        <v>903360</v>
      </c>
      <c r="AT78" s="816">
        <f t="shared" si="7"/>
        <v>1.2500000000000001E-2</v>
      </c>
      <c r="AU78" s="810">
        <v>0</v>
      </c>
      <c r="AV78" s="816">
        <v>0</v>
      </c>
      <c r="AW78" s="810">
        <v>0</v>
      </c>
      <c r="AX78" s="816">
        <v>0</v>
      </c>
      <c r="AZ78" s="808"/>
      <c r="BA78" s="817"/>
      <c r="BD78" s="42"/>
      <c r="BI78" s="22"/>
      <c r="BJ78" s="58"/>
      <c r="BL78" s="22" t="s">
        <v>269</v>
      </c>
      <c r="BN78" s="44"/>
      <c r="BP78" s="45"/>
      <c r="BQ78" s="46"/>
      <c r="BZ78">
        <v>902314</v>
      </c>
      <c r="CA78">
        <v>902314</v>
      </c>
      <c r="CB78" t="b">
        <f t="shared" si="11"/>
        <v>1</v>
      </c>
    </row>
    <row r="79" spans="1:80" ht="15" customHeight="1" x14ac:dyDescent="0.25">
      <c r="A79" s="22">
        <v>1344</v>
      </c>
      <c r="B79" s="23" t="s">
        <v>270</v>
      </c>
      <c r="C79" s="22" t="s">
        <v>76</v>
      </c>
      <c r="D79" s="23" t="s">
        <v>138</v>
      </c>
      <c r="E79" s="23" t="s">
        <v>271</v>
      </c>
      <c r="F79" s="22" t="s">
        <v>113</v>
      </c>
      <c r="G79" s="22" t="s">
        <v>113</v>
      </c>
      <c r="H79" s="23" t="str">
        <f>+C79&amp;F79</f>
        <v>Gaseosa1750cc x8</v>
      </c>
      <c r="I79" s="24" t="str">
        <f>+H79</f>
        <v>Gaseosa1750cc x8</v>
      </c>
      <c r="J79" s="818">
        <v>8.6956519999999995E-2</v>
      </c>
      <c r="K79" s="26" t="s">
        <v>94</v>
      </c>
      <c r="L79" s="27">
        <v>1.75</v>
      </c>
      <c r="M79" s="28">
        <v>8</v>
      </c>
      <c r="N79" s="27">
        <f t="shared" si="8"/>
        <v>14</v>
      </c>
      <c r="O79" s="27">
        <f t="shared" si="9"/>
        <v>2.4656940002258207</v>
      </c>
      <c r="P79" s="28"/>
      <c r="Q79" s="28"/>
      <c r="R79" s="29">
        <v>75</v>
      </c>
      <c r="S79" s="30">
        <v>0.20250000000000001</v>
      </c>
      <c r="T79" s="30">
        <v>0.05</v>
      </c>
      <c r="U79" s="819"/>
      <c r="V79" s="820"/>
      <c r="W79" s="821"/>
      <c r="X79" s="822">
        <v>0</v>
      </c>
      <c r="Y79" s="821"/>
      <c r="Z79" s="822">
        <v>0</v>
      </c>
      <c r="AA79" s="821"/>
      <c r="AB79" s="822"/>
      <c r="AC79" s="821">
        <v>0</v>
      </c>
      <c r="AD79" s="822">
        <v>0</v>
      </c>
      <c r="AE79" s="821">
        <v>0</v>
      </c>
      <c r="AF79" s="822">
        <v>0</v>
      </c>
      <c r="AG79" s="823"/>
      <c r="AH79" s="824"/>
      <c r="AI79" s="821">
        <v>0</v>
      </c>
      <c r="AJ79" s="822">
        <v>0</v>
      </c>
      <c r="AK79" s="825">
        <v>0</v>
      </c>
      <c r="AL79" s="826">
        <v>0</v>
      </c>
      <c r="AM79" s="821">
        <v>0</v>
      </c>
      <c r="AN79" s="827">
        <v>0</v>
      </c>
      <c r="AO79" s="821">
        <v>0</v>
      </c>
      <c r="AP79" s="827">
        <v>0</v>
      </c>
      <c r="AQ79" s="821">
        <v>0</v>
      </c>
      <c r="AR79" s="827">
        <v>0</v>
      </c>
      <c r="AS79" s="821">
        <v>0</v>
      </c>
      <c r="AT79" s="827">
        <v>0</v>
      </c>
      <c r="AU79" s="821">
        <v>0</v>
      </c>
      <c r="AV79" s="827">
        <v>0</v>
      </c>
      <c r="AW79" s="821">
        <v>0</v>
      </c>
      <c r="AX79" s="827">
        <v>0</v>
      </c>
      <c r="AZ79" s="819"/>
      <c r="BA79" s="828"/>
      <c r="BD79" s="42"/>
      <c r="BI79" s="22"/>
      <c r="BJ79" s="58"/>
      <c r="BL79" s="22"/>
      <c r="BN79" s="44"/>
      <c r="BP79" s="45"/>
      <c r="BQ79" s="46"/>
      <c r="CA79">
        <v>0</v>
      </c>
      <c r="CB79" t="b">
        <f t="shared" si="11"/>
        <v>1</v>
      </c>
    </row>
    <row r="80" spans="1:80" ht="15" customHeight="1" x14ac:dyDescent="0.25">
      <c r="A80" s="22">
        <v>1410</v>
      </c>
      <c r="B80" s="23" t="s">
        <v>272</v>
      </c>
      <c r="C80" s="22" t="s">
        <v>76</v>
      </c>
      <c r="D80" s="23" t="s">
        <v>273</v>
      </c>
      <c r="E80" s="23" t="s">
        <v>216</v>
      </c>
      <c r="F80" s="22" t="s">
        <v>86</v>
      </c>
      <c r="G80" s="22" t="s">
        <v>86</v>
      </c>
      <c r="H80" s="23" t="s">
        <v>88</v>
      </c>
      <c r="I80" s="24" t="s">
        <v>88</v>
      </c>
      <c r="J80" s="829">
        <v>8.6956519999999995E-2</v>
      </c>
      <c r="K80" s="26" t="s">
        <v>81</v>
      </c>
      <c r="L80" s="27">
        <v>0.35</v>
      </c>
      <c r="M80" s="28">
        <v>24</v>
      </c>
      <c r="N80" s="27">
        <f t="shared" si="8"/>
        <v>8.3999999999999986</v>
      </c>
      <c r="O80" s="27">
        <f t="shared" si="9"/>
        <v>1.4794164001354921</v>
      </c>
      <c r="P80" s="28">
        <v>6</v>
      </c>
      <c r="Q80" s="28">
        <v>10</v>
      </c>
      <c r="R80" s="29">
        <f>P80*Q80</f>
        <v>60</v>
      </c>
      <c r="S80" s="30">
        <v>0.2</v>
      </c>
      <c r="T80" s="30">
        <v>0</v>
      </c>
      <c r="U80" s="830">
        <v>905752</v>
      </c>
      <c r="V80" s="831">
        <v>4.1999999999999997E-3</v>
      </c>
      <c r="W80" s="832">
        <v>902332</v>
      </c>
      <c r="X80" s="833">
        <v>1.02186</v>
      </c>
      <c r="Y80" s="832">
        <v>902338</v>
      </c>
      <c r="Z80" s="833">
        <v>6.652799999999999E-2</v>
      </c>
      <c r="AA80" s="832">
        <v>933139</v>
      </c>
      <c r="AB80" s="833">
        <v>24</v>
      </c>
      <c r="AC80" s="832">
        <v>932981</v>
      </c>
      <c r="AD80" s="833">
        <v>24</v>
      </c>
      <c r="AE80" s="832">
        <v>0</v>
      </c>
      <c r="AF80" s="833">
        <v>0</v>
      </c>
      <c r="AG80" s="834"/>
      <c r="AH80" s="835"/>
      <c r="AI80" s="832">
        <v>932677</v>
      </c>
      <c r="AJ80" s="833">
        <v>24</v>
      </c>
      <c r="AK80" s="836">
        <v>901734</v>
      </c>
      <c r="AL80" s="837">
        <v>1</v>
      </c>
      <c r="AM80" s="832">
        <v>0</v>
      </c>
      <c r="AN80" s="838">
        <v>0</v>
      </c>
      <c r="AO80" s="832">
        <v>0</v>
      </c>
      <c r="AP80" s="838">
        <v>0</v>
      </c>
      <c r="AQ80" s="832">
        <v>0</v>
      </c>
      <c r="AR80" s="838">
        <v>0</v>
      </c>
      <c r="AS80" s="832">
        <f>IF(K80="P",903360,0)</f>
        <v>903360</v>
      </c>
      <c r="AT80" s="838">
        <f>1/R80</f>
        <v>1.6666666666666666E-2</v>
      </c>
      <c r="AU80" s="832">
        <v>0</v>
      </c>
      <c r="AV80" s="838">
        <v>0</v>
      </c>
      <c r="AW80" s="832">
        <v>0</v>
      </c>
      <c r="AX80" s="838">
        <v>0</v>
      </c>
      <c r="AZ80" s="830"/>
      <c r="BA80" s="839"/>
      <c r="BD80" s="42"/>
      <c r="BI80" s="22"/>
      <c r="BJ80" s="58"/>
      <c r="BL80" s="22" t="s">
        <v>102</v>
      </c>
      <c r="BN80" s="44"/>
      <c r="BP80" s="45"/>
      <c r="BQ80" s="46"/>
      <c r="BZ80">
        <v>905752</v>
      </c>
      <c r="CA80">
        <v>905752</v>
      </c>
      <c r="CB80" t="b">
        <f t="shared" si="11"/>
        <v>1</v>
      </c>
    </row>
    <row r="81" spans="1:80" ht="15" customHeight="1" x14ac:dyDescent="0.25">
      <c r="A81" s="22">
        <v>1411</v>
      </c>
      <c r="B81" s="23" t="s">
        <v>274</v>
      </c>
      <c r="C81" s="22" t="s">
        <v>76</v>
      </c>
      <c r="D81" s="23" t="s">
        <v>273</v>
      </c>
      <c r="E81" s="23" t="s">
        <v>216</v>
      </c>
      <c r="F81" s="22" t="s">
        <v>262</v>
      </c>
      <c r="G81" s="22" t="s">
        <v>262</v>
      </c>
      <c r="H81" s="23" t="s">
        <v>275</v>
      </c>
      <c r="I81" s="24"/>
      <c r="J81" s="840">
        <v>8.6956519999999995E-2</v>
      </c>
      <c r="K81" s="26" t="s">
        <v>94</v>
      </c>
      <c r="L81" s="27">
        <v>0.35399999999999998</v>
      </c>
      <c r="M81" s="28">
        <v>6</v>
      </c>
      <c r="N81" s="27">
        <f t="shared" si="8"/>
        <v>2.1239999999999997</v>
      </c>
      <c r="O81" s="27">
        <f t="shared" si="9"/>
        <v>0.37408100403426015</v>
      </c>
      <c r="P81" s="28">
        <v>11</v>
      </c>
      <c r="Q81" s="28">
        <v>56</v>
      </c>
      <c r="R81" s="29">
        <f>+P81*Q81</f>
        <v>616</v>
      </c>
      <c r="S81" s="30">
        <v>0.2</v>
      </c>
      <c r="T81" s="30">
        <v>0.05</v>
      </c>
      <c r="U81" s="841"/>
      <c r="V81" s="842"/>
      <c r="W81" s="843"/>
      <c r="X81" s="844">
        <v>0</v>
      </c>
      <c r="Y81" s="843"/>
      <c r="Z81" s="844">
        <v>0</v>
      </c>
      <c r="AA81" s="843"/>
      <c r="AB81" s="844"/>
      <c r="AC81" s="843">
        <v>0</v>
      </c>
      <c r="AD81" s="844">
        <v>0</v>
      </c>
      <c r="AE81" s="843">
        <v>0</v>
      </c>
      <c r="AF81" s="844">
        <v>0</v>
      </c>
      <c r="AG81" s="845"/>
      <c r="AH81" s="846"/>
      <c r="AI81" s="843">
        <v>0</v>
      </c>
      <c r="AJ81" s="844">
        <v>0</v>
      </c>
      <c r="AK81" s="847">
        <v>0</v>
      </c>
      <c r="AL81" s="848">
        <v>0</v>
      </c>
      <c r="AM81" s="843">
        <v>0</v>
      </c>
      <c r="AN81" s="849">
        <v>0</v>
      </c>
      <c r="AO81" s="843">
        <v>0</v>
      </c>
      <c r="AP81" s="849">
        <v>0</v>
      </c>
      <c r="AQ81" s="843">
        <v>0</v>
      </c>
      <c r="AR81" s="849">
        <v>0</v>
      </c>
      <c r="AS81" s="843">
        <v>0</v>
      </c>
      <c r="AT81" s="849">
        <v>0</v>
      </c>
      <c r="AU81" s="843">
        <v>0</v>
      </c>
      <c r="AV81" s="849">
        <v>0</v>
      </c>
      <c r="AW81" s="843">
        <v>0</v>
      </c>
      <c r="AX81" s="849">
        <v>0</v>
      </c>
      <c r="AZ81" s="841"/>
      <c r="BA81" s="850"/>
      <c r="BD81" s="42"/>
      <c r="BI81" s="22"/>
      <c r="BJ81" s="58"/>
      <c r="BL81" s="22" t="s">
        <v>255</v>
      </c>
      <c r="BN81" s="44"/>
      <c r="BP81" s="45"/>
      <c r="BQ81" s="46"/>
      <c r="CA81">
        <v>0</v>
      </c>
      <c r="CB81" t="b">
        <f t="shared" si="11"/>
        <v>1</v>
      </c>
    </row>
    <row r="82" spans="1:80" ht="15" customHeight="1" x14ac:dyDescent="0.25">
      <c r="A82" s="22">
        <v>1412</v>
      </c>
      <c r="B82" s="23" t="s">
        <v>276</v>
      </c>
      <c r="C82" s="22" t="s">
        <v>76</v>
      </c>
      <c r="D82" s="23" t="s">
        <v>273</v>
      </c>
      <c r="E82" s="23" t="s">
        <v>277</v>
      </c>
      <c r="F82" s="22" t="s">
        <v>262</v>
      </c>
      <c r="G82" s="22" t="s">
        <v>262</v>
      </c>
      <c r="H82" s="23" t="s">
        <v>275</v>
      </c>
      <c r="I82" s="24"/>
      <c r="J82" s="851">
        <v>8.6956519999999995E-2</v>
      </c>
      <c r="K82" s="26" t="s">
        <v>94</v>
      </c>
      <c r="L82" s="27">
        <v>0.35399999999999998</v>
      </c>
      <c r="M82" s="28">
        <v>6</v>
      </c>
      <c r="N82" s="27">
        <f t="shared" si="8"/>
        <v>2.1239999999999997</v>
      </c>
      <c r="O82" s="27">
        <f t="shared" si="9"/>
        <v>0.37408100403426015</v>
      </c>
      <c r="P82" s="28">
        <v>11</v>
      </c>
      <c r="Q82" s="28">
        <v>56</v>
      </c>
      <c r="R82" s="29">
        <f>+P82*Q82</f>
        <v>616</v>
      </c>
      <c r="S82" s="30">
        <v>0.23499999999999999</v>
      </c>
      <c r="T82" s="30">
        <v>0.05</v>
      </c>
      <c r="U82" s="852"/>
      <c r="V82" s="853"/>
      <c r="W82" s="854"/>
      <c r="X82" s="855">
        <v>0</v>
      </c>
      <c r="Y82" s="854"/>
      <c r="Z82" s="855">
        <v>0</v>
      </c>
      <c r="AA82" s="854"/>
      <c r="AB82" s="855"/>
      <c r="AC82" s="854">
        <v>0</v>
      </c>
      <c r="AD82" s="855">
        <v>0</v>
      </c>
      <c r="AE82" s="854">
        <v>0</v>
      </c>
      <c r="AF82" s="855">
        <v>0</v>
      </c>
      <c r="AG82" s="856"/>
      <c r="AH82" s="857"/>
      <c r="AI82" s="854">
        <v>0</v>
      </c>
      <c r="AJ82" s="855">
        <v>0</v>
      </c>
      <c r="AK82" s="858">
        <v>0</v>
      </c>
      <c r="AL82" s="859">
        <v>0</v>
      </c>
      <c r="AM82" s="854">
        <v>0</v>
      </c>
      <c r="AN82" s="860">
        <v>0</v>
      </c>
      <c r="AO82" s="854">
        <v>0</v>
      </c>
      <c r="AP82" s="860">
        <v>0</v>
      </c>
      <c r="AQ82" s="854">
        <v>0</v>
      </c>
      <c r="AR82" s="860">
        <v>0</v>
      </c>
      <c r="AS82" s="854">
        <v>0</v>
      </c>
      <c r="AT82" s="860">
        <v>0</v>
      </c>
      <c r="AU82" s="854">
        <v>0</v>
      </c>
      <c r="AV82" s="860">
        <v>0</v>
      </c>
      <c r="AW82" s="854">
        <v>0</v>
      </c>
      <c r="AX82" s="860">
        <v>0</v>
      </c>
      <c r="AZ82" s="852"/>
      <c r="BA82" s="861"/>
      <c r="BD82" s="42"/>
      <c r="BI82" s="22"/>
      <c r="BJ82" s="58"/>
      <c r="BL82" s="22" t="s">
        <v>255</v>
      </c>
      <c r="BN82" s="44"/>
      <c r="BP82" s="45"/>
      <c r="BQ82" s="46"/>
      <c r="CA82">
        <v>0</v>
      </c>
      <c r="CB82" t="b">
        <f t="shared" si="11"/>
        <v>1</v>
      </c>
    </row>
    <row r="83" spans="1:80" ht="15" customHeight="1" x14ac:dyDescent="0.25">
      <c r="A83" s="22">
        <v>1418</v>
      </c>
      <c r="B83" s="23" t="s">
        <v>278</v>
      </c>
      <c r="C83" s="22" t="s">
        <v>76</v>
      </c>
      <c r="D83" s="23" t="s">
        <v>273</v>
      </c>
      <c r="E83" s="23" t="s">
        <v>216</v>
      </c>
      <c r="F83" s="22" t="s">
        <v>91</v>
      </c>
      <c r="G83" s="22" t="s">
        <v>91</v>
      </c>
      <c r="H83" s="23" t="s">
        <v>93</v>
      </c>
      <c r="I83" s="24" t="s">
        <v>93</v>
      </c>
      <c r="J83" s="862">
        <v>8.6956519999999995E-2</v>
      </c>
      <c r="K83" s="26" t="s">
        <v>94</v>
      </c>
      <c r="L83" s="27">
        <v>0.35399999999999998</v>
      </c>
      <c r="M83" s="28">
        <v>6</v>
      </c>
      <c r="N83" s="27">
        <f t="shared" si="8"/>
        <v>2.1239999999999997</v>
      </c>
      <c r="O83" s="27">
        <f t="shared" si="9"/>
        <v>0.37408100403426015</v>
      </c>
      <c r="P83" s="28">
        <v>11</v>
      </c>
      <c r="Q83" s="28">
        <v>45</v>
      </c>
      <c r="R83" s="29">
        <f t="shared" ref="R83:R90" si="12">P83*Q83</f>
        <v>495</v>
      </c>
      <c r="S83" s="30">
        <v>0.2</v>
      </c>
      <c r="T83" s="30">
        <v>0.05</v>
      </c>
      <c r="U83" s="863">
        <v>0</v>
      </c>
      <c r="V83" s="864">
        <v>0</v>
      </c>
      <c r="W83" s="865">
        <v>0</v>
      </c>
      <c r="X83" s="866">
        <v>0</v>
      </c>
      <c r="Y83" s="865">
        <v>0</v>
      </c>
      <c r="Z83" s="866">
        <v>0</v>
      </c>
      <c r="AA83" s="865"/>
      <c r="AB83" s="866">
        <v>0</v>
      </c>
      <c r="AC83" s="865">
        <v>0</v>
      </c>
      <c r="AD83" s="866">
        <v>0</v>
      </c>
      <c r="AE83" s="865">
        <v>0</v>
      </c>
      <c r="AF83" s="866">
        <v>0</v>
      </c>
      <c r="AG83" s="867"/>
      <c r="AH83" s="868"/>
      <c r="AI83" s="865">
        <v>0</v>
      </c>
      <c r="AJ83" s="866">
        <v>0</v>
      </c>
      <c r="AK83" s="869">
        <v>0</v>
      </c>
      <c r="AL83" s="870">
        <v>0</v>
      </c>
      <c r="AM83" s="865">
        <v>0</v>
      </c>
      <c r="AN83" s="871">
        <v>0</v>
      </c>
      <c r="AO83" s="865">
        <v>0</v>
      </c>
      <c r="AP83" s="871">
        <v>0</v>
      </c>
      <c r="AQ83" s="865">
        <v>0</v>
      </c>
      <c r="AR83" s="871">
        <v>0</v>
      </c>
      <c r="AS83" s="865">
        <v>0</v>
      </c>
      <c r="AT83" s="871">
        <v>0</v>
      </c>
      <c r="AU83" s="865">
        <v>0</v>
      </c>
      <c r="AV83" s="871">
        <v>0</v>
      </c>
      <c r="AW83" s="865">
        <v>0</v>
      </c>
      <c r="AX83" s="871">
        <v>0</v>
      </c>
      <c r="AZ83" s="863"/>
      <c r="BA83" s="872"/>
      <c r="BD83" s="42"/>
      <c r="BI83" s="22"/>
      <c r="BJ83" s="58"/>
      <c r="BL83" s="22" t="s">
        <v>118</v>
      </c>
      <c r="BN83" s="44"/>
      <c r="BP83" s="45"/>
      <c r="BQ83" s="46"/>
      <c r="BZ83">
        <v>0</v>
      </c>
      <c r="CA83">
        <v>0</v>
      </c>
      <c r="CB83" t="b">
        <f t="shared" si="11"/>
        <v>1</v>
      </c>
    </row>
    <row r="84" spans="1:80" ht="15" customHeight="1" x14ac:dyDescent="0.25">
      <c r="A84" s="22">
        <v>1436</v>
      </c>
      <c r="B84" s="23" t="s">
        <v>279</v>
      </c>
      <c r="C84" s="22" t="s">
        <v>76</v>
      </c>
      <c r="D84" s="23" t="s">
        <v>273</v>
      </c>
      <c r="E84" s="23" t="s">
        <v>216</v>
      </c>
      <c r="F84" s="22" t="s">
        <v>255</v>
      </c>
      <c r="G84" s="22" t="s">
        <v>255</v>
      </c>
      <c r="H84" s="23" t="s">
        <v>280</v>
      </c>
      <c r="I84" s="24" t="s">
        <v>280</v>
      </c>
      <c r="J84" s="873">
        <v>8.6956519999999995E-2</v>
      </c>
      <c r="K84" s="26" t="s">
        <v>81</v>
      </c>
      <c r="L84" s="27">
        <v>1.5</v>
      </c>
      <c r="M84" s="28">
        <v>6</v>
      </c>
      <c r="N84" s="27">
        <f t="shared" si="8"/>
        <v>9</v>
      </c>
      <c r="O84" s="27">
        <f t="shared" si="9"/>
        <v>1.5850890001451705</v>
      </c>
      <c r="P84" s="28">
        <v>4</v>
      </c>
      <c r="Q84" s="28">
        <v>28</v>
      </c>
      <c r="R84" s="29">
        <f t="shared" si="12"/>
        <v>112</v>
      </c>
      <c r="S84" s="30">
        <v>0.2</v>
      </c>
      <c r="T84" s="30">
        <v>0</v>
      </c>
      <c r="U84" s="874">
        <v>905752</v>
      </c>
      <c r="V84" s="875">
        <v>4.5000000000000005E-3</v>
      </c>
      <c r="W84" s="876">
        <v>902332</v>
      </c>
      <c r="X84" s="877">
        <v>1.0948500000000001</v>
      </c>
      <c r="Y84" s="876">
        <v>902338</v>
      </c>
      <c r="Z84" s="877">
        <v>7.8408000000000005E-2</v>
      </c>
      <c r="AA84" s="876">
        <v>902256</v>
      </c>
      <c r="AB84" s="877">
        <v>6</v>
      </c>
      <c r="AC84" s="876">
        <v>909867</v>
      </c>
      <c r="AD84" s="877">
        <v>6</v>
      </c>
      <c r="AE84" s="876">
        <v>913486</v>
      </c>
      <c r="AF84" s="877">
        <v>6</v>
      </c>
      <c r="AG84" s="878"/>
      <c r="AH84" s="879"/>
      <c r="AI84" s="876">
        <v>0</v>
      </c>
      <c r="AJ84" s="877">
        <v>0</v>
      </c>
      <c r="AK84" s="880">
        <v>0</v>
      </c>
      <c r="AL84" s="881">
        <v>0</v>
      </c>
      <c r="AM84" s="876">
        <v>917330</v>
      </c>
      <c r="AN84" s="882">
        <v>2.3300000000000001E-2</v>
      </c>
      <c r="AO84" s="876">
        <v>902311</v>
      </c>
      <c r="AP84" s="882">
        <v>4.0178571428571433E-3</v>
      </c>
      <c r="AQ84" s="876">
        <v>910319</v>
      </c>
      <c r="AR84" s="882">
        <v>2.6785714285714284E-2</v>
      </c>
      <c r="AS84" s="876">
        <f>IF(K84="P",903360,0)</f>
        <v>903360</v>
      </c>
      <c r="AT84" s="882">
        <f>1/R84</f>
        <v>8.9285714285714281E-3</v>
      </c>
      <c r="AU84" s="876">
        <v>0</v>
      </c>
      <c r="AV84" s="882">
        <v>0</v>
      </c>
      <c r="AW84" s="876">
        <v>0</v>
      </c>
      <c r="AX84" s="882">
        <v>0</v>
      </c>
      <c r="AZ84" s="874"/>
      <c r="BA84" s="883"/>
      <c r="BD84" s="42"/>
      <c r="BI84" s="22"/>
      <c r="BJ84" s="58"/>
      <c r="BL84" s="22" t="s">
        <v>118</v>
      </c>
      <c r="BN84" s="44"/>
      <c r="BP84" s="45"/>
      <c r="BQ84" s="46"/>
      <c r="BZ84">
        <v>905752</v>
      </c>
      <c r="CA84">
        <v>905752</v>
      </c>
      <c r="CB84" t="b">
        <f t="shared" si="11"/>
        <v>1</v>
      </c>
    </row>
    <row r="85" spans="1:80" ht="15" customHeight="1" x14ac:dyDescent="0.25">
      <c r="A85" s="22">
        <v>1459</v>
      </c>
      <c r="B85" s="23" t="s">
        <v>281</v>
      </c>
      <c r="C85" s="22" t="s">
        <v>76</v>
      </c>
      <c r="D85" s="23" t="s">
        <v>273</v>
      </c>
      <c r="E85" s="23" t="s">
        <v>216</v>
      </c>
      <c r="F85" s="22" t="s">
        <v>118</v>
      </c>
      <c r="G85" s="22" t="s">
        <v>118</v>
      </c>
      <c r="H85" s="23" t="s">
        <v>125</v>
      </c>
      <c r="I85" s="24" t="s">
        <v>125</v>
      </c>
      <c r="J85" s="884">
        <v>8.6956519999999995E-2</v>
      </c>
      <c r="K85" s="26" t="s">
        <v>81</v>
      </c>
      <c r="L85" s="27">
        <v>2.25</v>
      </c>
      <c r="M85" s="28">
        <v>6</v>
      </c>
      <c r="N85" s="27">
        <f t="shared" si="8"/>
        <v>13.5</v>
      </c>
      <c r="O85" s="27">
        <f t="shared" si="9"/>
        <v>2.3776335002177555</v>
      </c>
      <c r="P85" s="28">
        <v>4</v>
      </c>
      <c r="Q85" s="28">
        <v>20</v>
      </c>
      <c r="R85" s="29">
        <f t="shared" si="12"/>
        <v>80</v>
      </c>
      <c r="S85" s="30">
        <v>0.2</v>
      </c>
      <c r="T85" s="30">
        <v>0</v>
      </c>
      <c r="U85" s="885">
        <v>905752</v>
      </c>
      <c r="V85" s="886">
        <v>6.7499999999999991E-3</v>
      </c>
      <c r="W85" s="887">
        <v>902332</v>
      </c>
      <c r="X85" s="888">
        <v>1.6422750000000002</v>
      </c>
      <c r="Y85" s="887">
        <v>902338</v>
      </c>
      <c r="Z85" s="888">
        <v>0.11761199999999999</v>
      </c>
      <c r="AA85" s="887">
        <v>902256</v>
      </c>
      <c r="AB85" s="888">
        <v>6</v>
      </c>
      <c r="AC85" s="887">
        <v>923740</v>
      </c>
      <c r="AD85" s="888">
        <v>6</v>
      </c>
      <c r="AE85" s="887">
        <v>916882</v>
      </c>
      <c r="AF85" s="888">
        <v>6</v>
      </c>
      <c r="AG85" s="889"/>
      <c r="AH85" s="890"/>
      <c r="AI85" s="887">
        <v>0</v>
      </c>
      <c r="AJ85" s="888">
        <v>0</v>
      </c>
      <c r="AK85" s="891">
        <v>0</v>
      </c>
      <c r="AL85" s="892">
        <v>0</v>
      </c>
      <c r="AM85" s="887">
        <v>932442</v>
      </c>
      <c r="AN85" s="893">
        <v>2.7699999999999999E-2</v>
      </c>
      <c r="AO85" s="887">
        <v>902311</v>
      </c>
      <c r="AP85" s="893">
        <v>4.3750000000000004E-3</v>
      </c>
      <c r="AQ85" s="887">
        <v>933089</v>
      </c>
      <c r="AR85" s="893">
        <v>3.7499999999999999E-2</v>
      </c>
      <c r="AS85" s="887">
        <f>IF(K85="P",903360,0)</f>
        <v>903360</v>
      </c>
      <c r="AT85" s="893">
        <f>1/R85</f>
        <v>1.2500000000000001E-2</v>
      </c>
      <c r="AU85" s="887">
        <v>0</v>
      </c>
      <c r="AV85" s="893">
        <v>0</v>
      </c>
      <c r="AW85" s="887">
        <v>0</v>
      </c>
      <c r="AX85" s="893">
        <v>0</v>
      </c>
      <c r="AZ85" s="885"/>
      <c r="BA85" s="894"/>
      <c r="BD85" s="42"/>
      <c r="BI85" s="22"/>
      <c r="BJ85" s="58"/>
      <c r="BL85" s="22" t="s">
        <v>123</v>
      </c>
      <c r="BN85" s="44"/>
      <c r="BP85" s="45"/>
      <c r="BQ85" s="46"/>
      <c r="BZ85">
        <v>905752</v>
      </c>
      <c r="CA85">
        <v>905752</v>
      </c>
      <c r="CB85" t="b">
        <f t="shared" si="11"/>
        <v>1</v>
      </c>
    </row>
    <row r="86" spans="1:80" ht="15" customHeight="1" x14ac:dyDescent="0.25">
      <c r="A86" s="22">
        <v>1490</v>
      </c>
      <c r="B86" s="23" t="s">
        <v>282</v>
      </c>
      <c r="C86" s="22" t="s">
        <v>76</v>
      </c>
      <c r="D86" s="23" t="s">
        <v>77</v>
      </c>
      <c r="E86" s="23" t="s">
        <v>77</v>
      </c>
      <c r="F86" s="22" t="s">
        <v>283</v>
      </c>
      <c r="G86" s="22" t="s">
        <v>283</v>
      </c>
      <c r="H86" s="23" t="s">
        <v>284</v>
      </c>
      <c r="I86" s="24" t="s">
        <v>284</v>
      </c>
      <c r="J86" s="895">
        <v>8.6956519999999995E-2</v>
      </c>
      <c r="K86" s="26" t="s">
        <v>81</v>
      </c>
      <c r="L86" s="27">
        <v>0.5</v>
      </c>
      <c r="M86" s="28">
        <v>6</v>
      </c>
      <c r="N86" s="27">
        <f t="shared" si="8"/>
        <v>3</v>
      </c>
      <c r="O86" s="27">
        <f t="shared" si="9"/>
        <v>0.5283630000483901</v>
      </c>
      <c r="P86" s="28">
        <v>6</v>
      </c>
      <c r="Q86" s="28">
        <v>48</v>
      </c>
      <c r="R86" s="29">
        <f t="shared" si="12"/>
        <v>288</v>
      </c>
      <c r="S86" s="30">
        <v>0.2</v>
      </c>
      <c r="T86" s="30">
        <v>0.05</v>
      </c>
      <c r="U86" s="896">
        <v>902026</v>
      </c>
      <c r="V86" s="897">
        <v>1.5625000000000001E-3</v>
      </c>
      <c r="W86" s="898">
        <v>902332</v>
      </c>
      <c r="X86" s="899">
        <v>0.43504468750000003</v>
      </c>
      <c r="Y86" s="898">
        <v>902338</v>
      </c>
      <c r="Z86" s="899">
        <v>2.6136E-2</v>
      </c>
      <c r="AA86" s="898">
        <v>901733</v>
      </c>
      <c r="AB86" s="899">
        <v>6</v>
      </c>
      <c r="AC86" s="898">
        <v>910242</v>
      </c>
      <c r="AD86" s="899">
        <v>6</v>
      </c>
      <c r="AE86" s="898">
        <v>901189</v>
      </c>
      <c r="AF86" s="899">
        <v>6</v>
      </c>
      <c r="AG86" s="900"/>
      <c r="AH86" s="901">
        <v>0</v>
      </c>
      <c r="AI86" s="898"/>
      <c r="AJ86" s="899">
        <v>0</v>
      </c>
      <c r="AK86" s="902">
        <v>0</v>
      </c>
      <c r="AL86" s="903">
        <v>0</v>
      </c>
      <c r="AM86" s="898">
        <v>938677</v>
      </c>
      <c r="AN86" s="904">
        <v>0</v>
      </c>
      <c r="AO86" s="898">
        <v>902311</v>
      </c>
      <c r="AP86" s="904">
        <v>2.7777777777777779E-3</v>
      </c>
      <c r="AQ86" s="898">
        <v>933089</v>
      </c>
      <c r="AR86" s="904">
        <v>1.7361111111111112E-2</v>
      </c>
      <c r="AS86" s="898">
        <v>903360</v>
      </c>
      <c r="AT86" s="904">
        <v>3.472222222222222E-3</v>
      </c>
      <c r="AU86" s="898"/>
      <c r="AV86" s="904">
        <v>0</v>
      </c>
      <c r="AW86" s="898"/>
      <c r="AX86" s="904">
        <v>0</v>
      </c>
      <c r="AZ86" s="896"/>
      <c r="BA86" s="905"/>
      <c r="BB86" t="s">
        <v>285</v>
      </c>
      <c r="BD86" s="42"/>
      <c r="BI86" s="22"/>
      <c r="BJ86" s="58"/>
      <c r="BL86" s="22" t="s">
        <v>286</v>
      </c>
      <c r="BN86" s="44"/>
      <c r="BP86" s="45"/>
      <c r="BQ86" s="46"/>
      <c r="BZ86">
        <v>902026</v>
      </c>
      <c r="CA86">
        <v>0</v>
      </c>
      <c r="CB86" t="b">
        <f t="shared" si="11"/>
        <v>0</v>
      </c>
    </row>
    <row r="87" spans="1:80" ht="15" customHeight="1" x14ac:dyDescent="0.25">
      <c r="A87" s="22">
        <v>1501</v>
      </c>
      <c r="B87" s="23" t="s">
        <v>287</v>
      </c>
      <c r="C87" s="22" t="s">
        <v>76</v>
      </c>
      <c r="D87" s="23" t="s">
        <v>77</v>
      </c>
      <c r="E87" s="23" t="s">
        <v>77</v>
      </c>
      <c r="F87" s="22" t="s">
        <v>258</v>
      </c>
      <c r="G87" s="22" t="s">
        <v>258</v>
      </c>
      <c r="H87" s="23" t="s">
        <v>288</v>
      </c>
      <c r="I87" s="24" t="s">
        <v>288</v>
      </c>
      <c r="J87" s="906">
        <v>8.6956519999999995E-2</v>
      </c>
      <c r="K87" s="26" t="s">
        <v>94</v>
      </c>
      <c r="L87" s="27">
        <v>0.22</v>
      </c>
      <c r="M87" s="28">
        <v>8</v>
      </c>
      <c r="N87" s="27">
        <f t="shared" si="8"/>
        <v>1.76</v>
      </c>
      <c r="O87" s="27">
        <f t="shared" si="9"/>
        <v>0.30997296002838887</v>
      </c>
      <c r="P87" s="28">
        <v>14</v>
      </c>
      <c r="Q87" s="28">
        <v>45</v>
      </c>
      <c r="R87" s="29">
        <f t="shared" si="12"/>
        <v>630</v>
      </c>
      <c r="S87" s="30">
        <v>0.2</v>
      </c>
      <c r="T87" s="30">
        <v>0.05</v>
      </c>
      <c r="U87" s="907">
        <v>0</v>
      </c>
      <c r="V87" s="908">
        <v>0</v>
      </c>
      <c r="W87" s="909">
        <v>0</v>
      </c>
      <c r="X87" s="910">
        <v>0</v>
      </c>
      <c r="Y87" s="909">
        <v>0</v>
      </c>
      <c r="Z87" s="910">
        <v>0</v>
      </c>
      <c r="AA87" s="909"/>
      <c r="AB87" s="910">
        <v>0</v>
      </c>
      <c r="AC87" s="909">
        <v>0</v>
      </c>
      <c r="AD87" s="910">
        <v>0</v>
      </c>
      <c r="AE87" s="909">
        <v>0</v>
      </c>
      <c r="AF87" s="910">
        <v>0</v>
      </c>
      <c r="AG87" s="911"/>
      <c r="AH87" s="912"/>
      <c r="AI87" s="909">
        <v>0</v>
      </c>
      <c r="AJ87" s="910">
        <v>0</v>
      </c>
      <c r="AK87" s="913">
        <v>0</v>
      </c>
      <c r="AL87" s="914">
        <v>0</v>
      </c>
      <c r="AM87" s="909">
        <v>0</v>
      </c>
      <c r="AN87" s="915">
        <v>0</v>
      </c>
      <c r="AO87" s="909">
        <v>0</v>
      </c>
      <c r="AP87" s="915">
        <v>0</v>
      </c>
      <c r="AQ87" s="909">
        <v>0</v>
      </c>
      <c r="AR87" s="915">
        <v>0</v>
      </c>
      <c r="AS87" s="909">
        <v>0</v>
      </c>
      <c r="AT87" s="915">
        <v>0</v>
      </c>
      <c r="AU87" s="909">
        <v>0</v>
      </c>
      <c r="AV87" s="915">
        <v>0</v>
      </c>
      <c r="AW87" s="909">
        <v>0</v>
      </c>
      <c r="AX87" s="915">
        <v>0</v>
      </c>
      <c r="AZ87" s="907"/>
      <c r="BA87" s="916"/>
      <c r="BD87" s="42"/>
      <c r="BI87" s="22"/>
      <c r="BJ87" s="58"/>
      <c r="BL87" s="22" t="s">
        <v>163</v>
      </c>
      <c r="BN87" s="44"/>
      <c r="BP87" s="45"/>
      <c r="BQ87" s="46"/>
      <c r="BZ87">
        <v>0</v>
      </c>
      <c r="CA87">
        <v>0</v>
      </c>
      <c r="CB87" t="b">
        <f t="shared" si="11"/>
        <v>1</v>
      </c>
    </row>
    <row r="88" spans="1:80" ht="15" customHeight="1" x14ac:dyDescent="0.25">
      <c r="A88" s="22">
        <v>1502</v>
      </c>
      <c r="B88" s="23" t="s">
        <v>289</v>
      </c>
      <c r="C88" s="22" t="s">
        <v>76</v>
      </c>
      <c r="D88" s="23" t="s">
        <v>77</v>
      </c>
      <c r="E88" s="23" t="s">
        <v>249</v>
      </c>
      <c r="F88" s="22" t="s">
        <v>258</v>
      </c>
      <c r="G88" s="22" t="s">
        <v>258</v>
      </c>
      <c r="H88" s="23" t="s">
        <v>288</v>
      </c>
      <c r="I88" s="24" t="s">
        <v>288</v>
      </c>
      <c r="J88" s="917">
        <v>8.6956519999999995E-2</v>
      </c>
      <c r="K88" s="26" t="s">
        <v>94</v>
      </c>
      <c r="L88" s="27">
        <v>0.22</v>
      </c>
      <c r="M88" s="28">
        <v>8</v>
      </c>
      <c r="N88" s="27">
        <f t="shared" si="8"/>
        <v>1.76</v>
      </c>
      <c r="O88" s="27">
        <f t="shared" si="9"/>
        <v>0.30997296002838887</v>
      </c>
      <c r="P88" s="28">
        <v>14</v>
      </c>
      <c r="Q88" s="28">
        <v>45</v>
      </c>
      <c r="R88" s="29">
        <f t="shared" si="12"/>
        <v>630</v>
      </c>
      <c r="S88" s="30">
        <v>0.23499999999999999</v>
      </c>
      <c r="T88" s="30">
        <v>0.05</v>
      </c>
      <c r="U88" s="918">
        <v>0</v>
      </c>
      <c r="V88" s="919">
        <v>0</v>
      </c>
      <c r="W88" s="920">
        <v>0</v>
      </c>
      <c r="X88" s="921">
        <v>0</v>
      </c>
      <c r="Y88" s="920">
        <v>0</v>
      </c>
      <c r="Z88" s="921">
        <v>0</v>
      </c>
      <c r="AA88" s="920"/>
      <c r="AB88" s="921">
        <v>0</v>
      </c>
      <c r="AC88" s="920">
        <v>0</v>
      </c>
      <c r="AD88" s="921">
        <v>0</v>
      </c>
      <c r="AE88" s="920">
        <v>0</v>
      </c>
      <c r="AF88" s="921">
        <v>0</v>
      </c>
      <c r="AG88" s="922"/>
      <c r="AH88" s="923"/>
      <c r="AI88" s="920">
        <v>0</v>
      </c>
      <c r="AJ88" s="921">
        <v>0</v>
      </c>
      <c r="AK88" s="924">
        <v>0</v>
      </c>
      <c r="AL88" s="925">
        <v>0</v>
      </c>
      <c r="AM88" s="920">
        <v>0</v>
      </c>
      <c r="AN88" s="926">
        <v>0</v>
      </c>
      <c r="AO88" s="920">
        <v>0</v>
      </c>
      <c r="AP88" s="926">
        <v>0</v>
      </c>
      <c r="AQ88" s="920">
        <v>0</v>
      </c>
      <c r="AR88" s="926">
        <v>0</v>
      </c>
      <c r="AS88" s="920">
        <v>0</v>
      </c>
      <c r="AT88" s="926">
        <v>0</v>
      </c>
      <c r="AU88" s="920">
        <v>0</v>
      </c>
      <c r="AV88" s="926">
        <v>0</v>
      </c>
      <c r="AW88" s="920">
        <v>0</v>
      </c>
      <c r="AX88" s="926">
        <v>0</v>
      </c>
      <c r="AZ88" s="918"/>
      <c r="BA88" s="927"/>
      <c r="BD88" s="42"/>
      <c r="BI88" s="22"/>
      <c r="BJ88" s="58"/>
      <c r="BL88" s="22" t="s">
        <v>290</v>
      </c>
      <c r="BN88" s="44"/>
      <c r="BP88" s="45"/>
      <c r="BQ88" s="46"/>
      <c r="BZ88">
        <v>0</v>
      </c>
      <c r="CA88">
        <v>0</v>
      </c>
      <c r="CB88" t="b">
        <f t="shared" si="11"/>
        <v>1</v>
      </c>
    </row>
    <row r="89" spans="1:80" ht="15" customHeight="1" x14ac:dyDescent="0.25">
      <c r="A89" s="22">
        <v>1504</v>
      </c>
      <c r="B89" s="23" t="s">
        <v>291</v>
      </c>
      <c r="C89" s="22" t="s">
        <v>76</v>
      </c>
      <c r="D89" s="23" t="s">
        <v>220</v>
      </c>
      <c r="E89" s="23" t="s">
        <v>292</v>
      </c>
      <c r="F89" s="22" t="s">
        <v>258</v>
      </c>
      <c r="G89" s="22" t="s">
        <v>258</v>
      </c>
      <c r="H89" s="23" t="s">
        <v>288</v>
      </c>
      <c r="I89" s="24" t="s">
        <v>288</v>
      </c>
      <c r="J89" s="928">
        <v>4.1666670000000003E-2</v>
      </c>
      <c r="K89" s="26" t="s">
        <v>94</v>
      </c>
      <c r="L89" s="27">
        <v>0.22</v>
      </c>
      <c r="M89" s="28">
        <v>8</v>
      </c>
      <c r="N89" s="27">
        <f t="shared" si="8"/>
        <v>1.76</v>
      </c>
      <c r="O89" s="27">
        <f t="shared" si="9"/>
        <v>0.30997296002838887</v>
      </c>
      <c r="P89" s="28">
        <v>14</v>
      </c>
      <c r="Q89" s="28">
        <v>45</v>
      </c>
      <c r="R89" s="29">
        <f t="shared" si="12"/>
        <v>630</v>
      </c>
      <c r="S89" s="30">
        <v>0.27500000000000002</v>
      </c>
      <c r="T89" s="30">
        <v>0.1</v>
      </c>
      <c r="U89" s="929">
        <v>0</v>
      </c>
      <c r="V89" s="930">
        <v>0</v>
      </c>
      <c r="W89" s="931">
        <v>0</v>
      </c>
      <c r="X89" s="932">
        <v>0</v>
      </c>
      <c r="Y89" s="931">
        <v>0</v>
      </c>
      <c r="Z89" s="932">
        <v>0</v>
      </c>
      <c r="AA89" s="931"/>
      <c r="AB89" s="932">
        <v>0</v>
      </c>
      <c r="AC89" s="931">
        <v>0</v>
      </c>
      <c r="AD89" s="932">
        <v>0</v>
      </c>
      <c r="AE89" s="931">
        <v>0</v>
      </c>
      <c r="AF89" s="932">
        <v>0</v>
      </c>
      <c r="AG89" s="933"/>
      <c r="AH89" s="934"/>
      <c r="AI89" s="931">
        <v>0</v>
      </c>
      <c r="AJ89" s="932">
        <v>0</v>
      </c>
      <c r="AK89" s="935">
        <v>0</v>
      </c>
      <c r="AL89" s="936">
        <v>0</v>
      </c>
      <c r="AM89" s="931">
        <v>0</v>
      </c>
      <c r="AN89" s="937">
        <v>0</v>
      </c>
      <c r="AO89" s="931">
        <v>0</v>
      </c>
      <c r="AP89" s="937">
        <v>0</v>
      </c>
      <c r="AQ89" s="931">
        <v>0</v>
      </c>
      <c r="AR89" s="937">
        <v>0</v>
      </c>
      <c r="AS89" s="931">
        <v>0</v>
      </c>
      <c r="AT89" s="937">
        <v>0</v>
      </c>
      <c r="AU89" s="931">
        <v>0</v>
      </c>
      <c r="AV89" s="937">
        <v>0</v>
      </c>
      <c r="AW89" s="931">
        <v>0</v>
      </c>
      <c r="AX89" s="937">
        <v>0</v>
      </c>
      <c r="AZ89" s="929"/>
      <c r="BA89" s="938"/>
      <c r="BD89" s="42"/>
      <c r="BI89" s="22"/>
      <c r="BJ89" s="58"/>
      <c r="BL89" s="22" t="s">
        <v>293</v>
      </c>
      <c r="BN89" s="44"/>
      <c r="BP89" s="45"/>
      <c r="BQ89" s="46"/>
      <c r="BZ89">
        <v>0</v>
      </c>
      <c r="CA89">
        <v>0</v>
      </c>
      <c r="CB89" t="b">
        <f t="shared" si="11"/>
        <v>1</v>
      </c>
    </row>
    <row r="90" spans="1:80" ht="15" customHeight="1" x14ac:dyDescent="0.25">
      <c r="A90" s="22">
        <v>1507</v>
      </c>
      <c r="B90" s="23" t="s">
        <v>294</v>
      </c>
      <c r="C90" s="22" t="s">
        <v>76</v>
      </c>
      <c r="D90" s="23" t="s">
        <v>77</v>
      </c>
      <c r="E90" s="23" t="s">
        <v>173</v>
      </c>
      <c r="F90" s="22" t="s">
        <v>258</v>
      </c>
      <c r="G90" s="22" t="s">
        <v>258</v>
      </c>
      <c r="H90" s="23" t="s">
        <v>288</v>
      </c>
      <c r="I90" s="24" t="s">
        <v>288</v>
      </c>
      <c r="J90" s="939">
        <v>8.6956519999999995E-2</v>
      </c>
      <c r="K90" s="26" t="s">
        <v>94</v>
      </c>
      <c r="L90" s="27">
        <v>0.22</v>
      </c>
      <c r="M90" s="28">
        <v>8</v>
      </c>
      <c r="N90" s="27">
        <f t="shared" si="8"/>
        <v>1.76</v>
      </c>
      <c r="O90" s="27">
        <f t="shared" si="9"/>
        <v>0.30997296002838887</v>
      </c>
      <c r="P90" s="28">
        <v>14</v>
      </c>
      <c r="Q90" s="28">
        <v>45</v>
      </c>
      <c r="R90" s="29">
        <f t="shared" si="12"/>
        <v>630</v>
      </c>
      <c r="S90" s="30">
        <v>0.27700000000000002</v>
      </c>
      <c r="T90" s="30">
        <v>0.16</v>
      </c>
      <c r="U90" s="940">
        <v>0</v>
      </c>
      <c r="V90" s="941">
        <v>0</v>
      </c>
      <c r="W90" s="942">
        <v>0</v>
      </c>
      <c r="X90" s="943">
        <v>0</v>
      </c>
      <c r="Y90" s="942">
        <v>0</v>
      </c>
      <c r="Z90" s="943">
        <v>0</v>
      </c>
      <c r="AA90" s="942"/>
      <c r="AB90" s="943">
        <v>0</v>
      </c>
      <c r="AC90" s="942">
        <v>0</v>
      </c>
      <c r="AD90" s="943">
        <v>0</v>
      </c>
      <c r="AE90" s="942">
        <v>0</v>
      </c>
      <c r="AF90" s="943">
        <v>0</v>
      </c>
      <c r="AG90" s="944"/>
      <c r="AH90" s="945"/>
      <c r="AI90" s="942">
        <v>0</v>
      </c>
      <c r="AJ90" s="943">
        <v>0</v>
      </c>
      <c r="AK90" s="946">
        <v>0</v>
      </c>
      <c r="AL90" s="947">
        <v>0</v>
      </c>
      <c r="AM90" s="942">
        <v>0</v>
      </c>
      <c r="AN90" s="948">
        <v>0</v>
      </c>
      <c r="AO90" s="942">
        <v>0</v>
      </c>
      <c r="AP90" s="948">
        <v>0</v>
      </c>
      <c r="AQ90" s="942">
        <v>0</v>
      </c>
      <c r="AR90" s="948">
        <v>0</v>
      </c>
      <c r="AS90" s="942">
        <v>0</v>
      </c>
      <c r="AT90" s="948">
        <v>0</v>
      </c>
      <c r="AU90" s="942">
        <v>0</v>
      </c>
      <c r="AV90" s="948">
        <v>0</v>
      </c>
      <c r="AW90" s="942">
        <v>0</v>
      </c>
      <c r="AX90" s="948">
        <v>0</v>
      </c>
      <c r="AZ90" s="940"/>
      <c r="BA90" s="949"/>
      <c r="BD90" s="42"/>
      <c r="BI90" s="22"/>
      <c r="BJ90" s="58"/>
      <c r="BL90" s="22" t="s">
        <v>290</v>
      </c>
      <c r="BN90" s="44"/>
      <c r="BP90" s="45"/>
      <c r="BQ90" s="46"/>
      <c r="BZ90">
        <v>0</v>
      </c>
      <c r="CA90">
        <v>0</v>
      </c>
      <c r="CB90" t="b">
        <f t="shared" si="11"/>
        <v>1</v>
      </c>
    </row>
    <row r="91" spans="1:80" ht="15" customHeight="1" x14ac:dyDescent="0.25">
      <c r="A91" s="22">
        <v>1611</v>
      </c>
      <c r="B91" s="23" t="s">
        <v>295</v>
      </c>
      <c r="C91" s="22" t="s">
        <v>76</v>
      </c>
      <c r="D91" s="23" t="s">
        <v>273</v>
      </c>
      <c r="E91" s="23" t="s">
        <v>296</v>
      </c>
      <c r="F91" s="22" t="s">
        <v>262</v>
      </c>
      <c r="G91" s="22" t="s">
        <v>262</v>
      </c>
      <c r="H91" s="23" t="s">
        <v>275</v>
      </c>
      <c r="I91" s="24"/>
      <c r="J91" s="950">
        <v>8.6956519999999995E-2</v>
      </c>
      <c r="K91" s="26" t="s">
        <v>94</v>
      </c>
      <c r="L91" s="27">
        <v>0.31</v>
      </c>
      <c r="M91" s="28">
        <v>6</v>
      </c>
      <c r="N91" s="27">
        <f t="shared" si="8"/>
        <v>1.8599999999999999</v>
      </c>
      <c r="O91" s="27">
        <f t="shared" si="9"/>
        <v>0.32758506003000187</v>
      </c>
      <c r="P91" s="28">
        <v>11</v>
      </c>
      <c r="Q91" s="28">
        <v>56</v>
      </c>
      <c r="R91" s="29">
        <f>+P91*Q91</f>
        <v>616</v>
      </c>
      <c r="S91" s="30">
        <v>0.2</v>
      </c>
      <c r="T91" s="30">
        <v>0.1</v>
      </c>
      <c r="U91" s="951"/>
      <c r="V91" s="952"/>
      <c r="W91" s="953"/>
      <c r="X91" s="954">
        <v>0</v>
      </c>
      <c r="Y91" s="953"/>
      <c r="Z91" s="954">
        <v>0</v>
      </c>
      <c r="AA91" s="953"/>
      <c r="AB91" s="954"/>
      <c r="AC91" s="953">
        <v>0</v>
      </c>
      <c r="AD91" s="954">
        <v>0</v>
      </c>
      <c r="AE91" s="953">
        <v>0</v>
      </c>
      <c r="AF91" s="954">
        <v>0</v>
      </c>
      <c r="AG91" s="955"/>
      <c r="AH91" s="956"/>
      <c r="AI91" s="953">
        <v>0</v>
      </c>
      <c r="AJ91" s="954">
        <v>0</v>
      </c>
      <c r="AK91" s="957">
        <v>0</v>
      </c>
      <c r="AL91" s="958">
        <v>0</v>
      </c>
      <c r="AM91" s="953">
        <v>0</v>
      </c>
      <c r="AN91" s="959">
        <v>0</v>
      </c>
      <c r="AO91" s="953">
        <v>0</v>
      </c>
      <c r="AP91" s="959">
        <v>0</v>
      </c>
      <c r="AQ91" s="953">
        <v>0</v>
      </c>
      <c r="AR91" s="959">
        <v>0</v>
      </c>
      <c r="AS91" s="953">
        <v>0</v>
      </c>
      <c r="AT91" s="959">
        <v>0</v>
      </c>
      <c r="AU91" s="953">
        <v>0</v>
      </c>
      <c r="AV91" s="959">
        <v>0</v>
      </c>
      <c r="AW91" s="953">
        <v>0</v>
      </c>
      <c r="AX91" s="959">
        <v>0</v>
      </c>
      <c r="AZ91" s="951"/>
      <c r="BA91" s="960"/>
      <c r="BD91" s="42"/>
      <c r="BI91" s="22"/>
      <c r="BJ91" s="58"/>
      <c r="BL91" s="22" t="s">
        <v>290</v>
      </c>
      <c r="BN91" s="44"/>
      <c r="BP91" s="45"/>
      <c r="BQ91" s="46"/>
      <c r="CA91">
        <v>0</v>
      </c>
      <c r="CB91" t="b">
        <f t="shared" si="11"/>
        <v>1</v>
      </c>
    </row>
    <row r="92" spans="1:80" ht="15" customHeight="1" x14ac:dyDescent="0.25">
      <c r="A92" s="22">
        <v>1612</v>
      </c>
      <c r="B92" s="23" t="s">
        <v>297</v>
      </c>
      <c r="C92" s="22" t="s">
        <v>76</v>
      </c>
      <c r="D92" s="23" t="s">
        <v>273</v>
      </c>
      <c r="E92" s="23" t="s">
        <v>298</v>
      </c>
      <c r="F92" s="22" t="s">
        <v>262</v>
      </c>
      <c r="G92" s="22" t="s">
        <v>262</v>
      </c>
      <c r="H92" s="23" t="s">
        <v>275</v>
      </c>
      <c r="I92" s="24"/>
      <c r="J92" s="961"/>
      <c r="K92" s="26" t="s">
        <v>94</v>
      </c>
      <c r="L92" s="27">
        <v>0.31</v>
      </c>
      <c r="M92" s="28">
        <v>6</v>
      </c>
      <c r="N92" s="27">
        <f t="shared" si="8"/>
        <v>1.8599999999999999</v>
      </c>
      <c r="O92" s="27">
        <f t="shared" si="9"/>
        <v>0.32758506003000187</v>
      </c>
      <c r="P92" s="28">
        <v>11</v>
      </c>
      <c r="Q92" s="28">
        <v>56</v>
      </c>
      <c r="R92" s="29">
        <f>+P92*Q92</f>
        <v>616</v>
      </c>
      <c r="S92" s="30">
        <v>0.2</v>
      </c>
      <c r="T92" s="30">
        <v>0.1</v>
      </c>
      <c r="U92" s="962"/>
      <c r="V92" s="963"/>
      <c r="W92" s="964"/>
      <c r="X92" s="965">
        <v>0</v>
      </c>
      <c r="Y92" s="964"/>
      <c r="Z92" s="965">
        <v>0</v>
      </c>
      <c r="AA92" s="964"/>
      <c r="AB92" s="965"/>
      <c r="AC92" s="964">
        <v>0</v>
      </c>
      <c r="AD92" s="965">
        <v>0</v>
      </c>
      <c r="AE92" s="964">
        <v>0</v>
      </c>
      <c r="AF92" s="965">
        <v>0</v>
      </c>
      <c r="AG92" s="966"/>
      <c r="AH92" s="967"/>
      <c r="AI92" s="964">
        <v>0</v>
      </c>
      <c r="AJ92" s="965">
        <v>0</v>
      </c>
      <c r="AK92" s="968">
        <v>0</v>
      </c>
      <c r="AL92" s="969">
        <v>0</v>
      </c>
      <c r="AM92" s="964">
        <v>0</v>
      </c>
      <c r="AN92" s="970">
        <v>0</v>
      </c>
      <c r="AO92" s="964">
        <v>0</v>
      </c>
      <c r="AP92" s="970">
        <v>0</v>
      </c>
      <c r="AQ92" s="964">
        <v>0</v>
      </c>
      <c r="AR92" s="970">
        <v>0</v>
      </c>
      <c r="AS92" s="964">
        <v>0</v>
      </c>
      <c r="AT92" s="970">
        <v>0</v>
      </c>
      <c r="AU92" s="964">
        <v>0</v>
      </c>
      <c r="AV92" s="970">
        <v>0</v>
      </c>
      <c r="AW92" s="964">
        <v>0</v>
      </c>
      <c r="AX92" s="970">
        <v>0</v>
      </c>
      <c r="AZ92" s="962"/>
      <c r="BA92" s="971"/>
      <c r="BD92" s="42"/>
      <c r="BI92" s="22"/>
      <c r="BJ92" s="58"/>
      <c r="BL92" s="22" t="s">
        <v>255</v>
      </c>
      <c r="BN92" s="44"/>
      <c r="BP92" s="45"/>
      <c r="BQ92" s="46"/>
      <c r="CA92">
        <v>0</v>
      </c>
      <c r="CB92" t="b">
        <f t="shared" si="11"/>
        <v>1</v>
      </c>
    </row>
    <row r="93" spans="1:80" ht="15" customHeight="1" x14ac:dyDescent="0.25">
      <c r="A93" s="22">
        <v>1620</v>
      </c>
      <c r="B93" s="23" t="s">
        <v>299</v>
      </c>
      <c r="C93" s="22" t="s">
        <v>170</v>
      </c>
      <c r="D93" s="23" t="s">
        <v>300</v>
      </c>
      <c r="E93" s="23" t="s">
        <v>131</v>
      </c>
      <c r="F93" s="22" t="s">
        <v>102</v>
      </c>
      <c r="G93" s="22" t="s">
        <v>102</v>
      </c>
      <c r="H93" s="23" t="s">
        <v>301</v>
      </c>
      <c r="I93" s="24" t="s">
        <v>301</v>
      </c>
      <c r="J93" s="972">
        <v>0</v>
      </c>
      <c r="K93" s="26" t="s">
        <v>81</v>
      </c>
      <c r="L93" s="27">
        <v>0.5</v>
      </c>
      <c r="M93" s="28">
        <v>12</v>
      </c>
      <c r="N93" s="27">
        <f t="shared" si="8"/>
        <v>6</v>
      </c>
      <c r="O93" s="27">
        <f t="shared" si="9"/>
        <v>1.0567260000967802</v>
      </c>
      <c r="P93" s="28">
        <v>6</v>
      </c>
      <c r="Q93" s="28">
        <v>24</v>
      </c>
      <c r="R93" s="29">
        <f t="shared" ref="R93:R115" si="13">P93*Q93</f>
        <v>144</v>
      </c>
      <c r="S93" s="30">
        <v>2.5000000000000001E-2</v>
      </c>
      <c r="T93" s="30">
        <v>0</v>
      </c>
      <c r="U93" s="973">
        <v>939154</v>
      </c>
      <c r="V93" s="974">
        <v>3.0000000000000001E-3</v>
      </c>
      <c r="W93" s="975">
        <v>0</v>
      </c>
      <c r="X93" s="976">
        <v>0</v>
      </c>
      <c r="Y93" s="975">
        <v>902338</v>
      </c>
      <c r="Z93" s="976">
        <v>3.9204000000000003E-2</v>
      </c>
      <c r="AA93" s="975">
        <v>931150</v>
      </c>
      <c r="AB93" s="976">
        <v>12</v>
      </c>
      <c r="AC93" s="975">
        <v>936448</v>
      </c>
      <c r="AD93" s="976">
        <v>12</v>
      </c>
      <c r="AE93" s="975">
        <v>939863</v>
      </c>
      <c r="AF93" s="976">
        <v>12</v>
      </c>
      <c r="AG93" s="977"/>
      <c r="AH93" s="978"/>
      <c r="AI93" s="975">
        <v>0</v>
      </c>
      <c r="AJ93" s="976">
        <v>0</v>
      </c>
      <c r="AK93" s="979">
        <v>0</v>
      </c>
      <c r="AL93" s="980">
        <v>0</v>
      </c>
      <c r="AM93" s="975">
        <v>932317</v>
      </c>
      <c r="AN93" s="981">
        <v>1.8200000000000001E-2</v>
      </c>
      <c r="AO93" s="975">
        <v>902311</v>
      </c>
      <c r="AP93" s="981">
        <v>2.7777777777777779E-3</v>
      </c>
      <c r="AQ93" s="975">
        <v>933089</v>
      </c>
      <c r="AR93" s="981">
        <v>3.4722222222222224E-2</v>
      </c>
      <c r="AS93" s="975">
        <f>IF(K93="P",903360,0)</f>
        <v>903360</v>
      </c>
      <c r="AT93" s="981">
        <f>1/R93</f>
        <v>6.9444444444444441E-3</v>
      </c>
      <c r="AU93" s="975">
        <v>0</v>
      </c>
      <c r="AV93" s="981">
        <v>0</v>
      </c>
      <c r="AW93" s="975">
        <v>0</v>
      </c>
      <c r="AX93" s="981">
        <v>0</v>
      </c>
      <c r="AZ93" s="973"/>
      <c r="BA93" s="982"/>
      <c r="BD93" s="42"/>
      <c r="BI93" s="22"/>
      <c r="BJ93" s="58"/>
      <c r="BL93" s="22" t="s">
        <v>290</v>
      </c>
      <c r="BN93" s="44"/>
      <c r="BP93" s="45"/>
      <c r="BQ93" s="46"/>
      <c r="BZ93">
        <v>939154</v>
      </c>
      <c r="CA93">
        <v>939154</v>
      </c>
      <c r="CB93" t="b">
        <f t="shared" si="11"/>
        <v>1</v>
      </c>
    </row>
    <row r="94" spans="1:80" ht="15" customHeight="1" x14ac:dyDescent="0.25">
      <c r="A94" s="22">
        <v>1640</v>
      </c>
      <c r="B94" s="23" t="s">
        <v>302</v>
      </c>
      <c r="C94" s="22" t="s">
        <v>170</v>
      </c>
      <c r="D94" s="23" t="s">
        <v>300</v>
      </c>
      <c r="E94" s="23" t="s">
        <v>131</v>
      </c>
      <c r="F94" s="22" t="s">
        <v>255</v>
      </c>
      <c r="G94" s="22" t="s">
        <v>255</v>
      </c>
      <c r="H94" s="23" t="s">
        <v>303</v>
      </c>
      <c r="I94" s="24" t="s">
        <v>303</v>
      </c>
      <c r="J94" s="983">
        <v>0</v>
      </c>
      <c r="K94" s="26" t="s">
        <v>81</v>
      </c>
      <c r="L94" s="27">
        <v>1.5</v>
      </c>
      <c r="M94" s="28">
        <v>6</v>
      </c>
      <c r="N94" s="27">
        <f t="shared" si="8"/>
        <v>9</v>
      </c>
      <c r="O94" s="27">
        <f t="shared" si="9"/>
        <v>1.5850890001451705</v>
      </c>
      <c r="P94" s="28">
        <v>4</v>
      </c>
      <c r="Q94" s="28">
        <v>28</v>
      </c>
      <c r="R94" s="29">
        <f t="shared" si="13"/>
        <v>112</v>
      </c>
      <c r="S94" s="30">
        <v>2.5000000000000001E-2</v>
      </c>
      <c r="T94" s="30">
        <v>0</v>
      </c>
      <c r="U94" s="984">
        <v>939154</v>
      </c>
      <c r="V94" s="985">
        <v>4.5000000000000005E-3</v>
      </c>
      <c r="W94" s="986">
        <v>0</v>
      </c>
      <c r="X94" s="987">
        <v>0</v>
      </c>
      <c r="Y94" s="986">
        <v>902338</v>
      </c>
      <c r="Z94" s="987">
        <v>5.8806000000000004E-2</v>
      </c>
      <c r="AA94" s="986">
        <v>931150</v>
      </c>
      <c r="AB94" s="987">
        <v>6</v>
      </c>
      <c r="AC94" s="986">
        <v>936449</v>
      </c>
      <c r="AD94" s="987">
        <v>6</v>
      </c>
      <c r="AE94" s="986">
        <v>939522</v>
      </c>
      <c r="AF94" s="987">
        <v>6</v>
      </c>
      <c r="AG94" s="988"/>
      <c r="AH94" s="989"/>
      <c r="AI94" s="986">
        <v>0</v>
      </c>
      <c r="AJ94" s="987">
        <v>0</v>
      </c>
      <c r="AK94" s="990">
        <v>0</v>
      </c>
      <c r="AL94" s="991">
        <v>0</v>
      </c>
      <c r="AM94" s="986">
        <v>932317</v>
      </c>
      <c r="AN94" s="992">
        <v>2.1999999999999999E-2</v>
      </c>
      <c r="AO94" s="986">
        <v>902311</v>
      </c>
      <c r="AP94" s="992">
        <v>4.1666666666666666E-3</v>
      </c>
      <c r="AQ94" s="986">
        <v>933089</v>
      </c>
      <c r="AR94" s="992">
        <v>2.6785714285714284E-2</v>
      </c>
      <c r="AS94" s="986">
        <f>IF(K94="P",903360,0)</f>
        <v>903360</v>
      </c>
      <c r="AT94" s="992">
        <f>1/R94</f>
        <v>8.9285714285714281E-3</v>
      </c>
      <c r="AU94" s="986">
        <v>0</v>
      </c>
      <c r="AV94" s="992">
        <v>0</v>
      </c>
      <c r="AW94" s="986">
        <v>0</v>
      </c>
      <c r="AX94" s="992">
        <v>0</v>
      </c>
      <c r="AZ94" s="984"/>
      <c r="BA94" s="993"/>
      <c r="BD94" s="42"/>
      <c r="BI94" s="22"/>
      <c r="BJ94" s="58"/>
      <c r="BL94" s="22" t="s">
        <v>255</v>
      </c>
      <c r="BN94" s="44"/>
      <c r="BP94" s="45"/>
      <c r="BQ94" s="46"/>
      <c r="BZ94">
        <v>939154</v>
      </c>
      <c r="CA94">
        <v>939154</v>
      </c>
      <c r="CB94" t="b">
        <f t="shared" si="11"/>
        <v>1</v>
      </c>
    </row>
    <row r="95" spans="1:80" ht="15" customHeight="1" x14ac:dyDescent="0.25">
      <c r="A95" s="22">
        <v>1658</v>
      </c>
      <c r="B95" s="23" t="s">
        <v>304</v>
      </c>
      <c r="C95" s="22" t="s">
        <v>170</v>
      </c>
      <c r="D95" s="23" t="s">
        <v>300</v>
      </c>
      <c r="E95" s="23" t="s">
        <v>131</v>
      </c>
      <c r="F95" s="22" t="s">
        <v>118</v>
      </c>
      <c r="G95" s="22" t="s">
        <v>118</v>
      </c>
      <c r="H95" s="23" t="s">
        <v>305</v>
      </c>
      <c r="I95" s="24" t="s">
        <v>305</v>
      </c>
      <c r="J95" s="994">
        <v>0</v>
      </c>
      <c r="K95" s="26" t="s">
        <v>81</v>
      </c>
      <c r="L95" s="27">
        <v>2.25</v>
      </c>
      <c r="M95" s="28">
        <v>6</v>
      </c>
      <c r="N95" s="27">
        <f t="shared" si="8"/>
        <v>13.5</v>
      </c>
      <c r="O95" s="27">
        <f t="shared" si="9"/>
        <v>2.3776335002177555</v>
      </c>
      <c r="P95" s="28">
        <v>4</v>
      </c>
      <c r="Q95" s="28">
        <v>20</v>
      </c>
      <c r="R95" s="29">
        <f t="shared" si="13"/>
        <v>80</v>
      </c>
      <c r="S95" s="30">
        <v>2.5000000000000001E-2</v>
      </c>
      <c r="T95" s="30">
        <v>0</v>
      </c>
      <c r="U95" s="995">
        <v>939154</v>
      </c>
      <c r="V95" s="996">
        <v>6.7499999999999991E-3</v>
      </c>
      <c r="W95" s="997">
        <v>0</v>
      </c>
      <c r="X95" s="998">
        <v>0</v>
      </c>
      <c r="Y95" s="997">
        <v>902338</v>
      </c>
      <c r="Z95" s="998">
        <v>8.8208999999999996E-2</v>
      </c>
      <c r="AA95" s="997">
        <v>931150</v>
      </c>
      <c r="AB95" s="998">
        <v>6</v>
      </c>
      <c r="AC95" s="997">
        <v>936450</v>
      </c>
      <c r="AD95" s="998">
        <v>6</v>
      </c>
      <c r="AE95" s="997">
        <v>933390</v>
      </c>
      <c r="AF95" s="998">
        <v>6</v>
      </c>
      <c r="AG95" s="999"/>
      <c r="AH95" s="1000"/>
      <c r="AI95" s="997">
        <v>0</v>
      </c>
      <c r="AJ95" s="998">
        <v>0</v>
      </c>
      <c r="AK95" s="1001">
        <v>0</v>
      </c>
      <c r="AL95" s="1002">
        <v>0</v>
      </c>
      <c r="AM95" s="997">
        <v>917330</v>
      </c>
      <c r="AN95" s="1003">
        <v>2.64E-2</v>
      </c>
      <c r="AO95" s="997">
        <v>902311</v>
      </c>
      <c r="AP95" s="1003">
        <v>4.3750000000000004E-3</v>
      </c>
      <c r="AQ95" s="997">
        <v>933089</v>
      </c>
      <c r="AR95" s="1003">
        <v>3.7499999999999999E-2</v>
      </c>
      <c r="AS95" s="997">
        <f>IF(K95="P",903360,0)</f>
        <v>903360</v>
      </c>
      <c r="AT95" s="1003">
        <f>1/R95</f>
        <v>1.2500000000000001E-2</v>
      </c>
      <c r="AU95" s="997">
        <v>0</v>
      </c>
      <c r="AV95" s="1003">
        <v>0</v>
      </c>
      <c r="AW95" s="997">
        <v>0</v>
      </c>
      <c r="AX95" s="1003">
        <v>0</v>
      </c>
      <c r="AZ95" s="995"/>
      <c r="BA95" s="1004"/>
      <c r="BD95" s="42"/>
      <c r="BI95" s="22"/>
      <c r="BJ95" s="58"/>
      <c r="BL95" s="22" t="s">
        <v>255</v>
      </c>
      <c r="BN95" s="44"/>
      <c r="BP95" s="45"/>
      <c r="BQ95" s="46"/>
      <c r="BZ95">
        <v>939154</v>
      </c>
      <c r="CA95">
        <v>939154</v>
      </c>
      <c r="CB95" t="b">
        <f t="shared" si="11"/>
        <v>1</v>
      </c>
    </row>
    <row r="96" spans="1:80" ht="15" customHeight="1" x14ac:dyDescent="0.25">
      <c r="A96" s="22">
        <v>1659</v>
      </c>
      <c r="B96" s="23" t="s">
        <v>306</v>
      </c>
      <c r="C96" s="22" t="s">
        <v>170</v>
      </c>
      <c r="D96" s="23" t="s">
        <v>218</v>
      </c>
      <c r="E96" s="23" t="s">
        <v>218</v>
      </c>
      <c r="F96" s="22" t="s">
        <v>269</v>
      </c>
      <c r="G96" s="22" t="s">
        <v>269</v>
      </c>
      <c r="H96" s="23" t="s">
        <v>307</v>
      </c>
      <c r="I96" s="24" t="s">
        <v>307</v>
      </c>
      <c r="J96" s="1005">
        <v>4.1666670000000003E-2</v>
      </c>
      <c r="K96" s="26" t="s">
        <v>94</v>
      </c>
      <c r="L96" s="27">
        <v>0.59099999999999997</v>
      </c>
      <c r="M96" s="28">
        <v>6</v>
      </c>
      <c r="N96" s="27">
        <f t="shared" si="8"/>
        <v>3.5459999999999998</v>
      </c>
      <c r="O96" s="27">
        <f t="shared" si="9"/>
        <v>0.62452506605719715</v>
      </c>
      <c r="P96" s="28">
        <v>6</v>
      </c>
      <c r="Q96" s="28">
        <v>48</v>
      </c>
      <c r="R96" s="29">
        <f t="shared" si="13"/>
        <v>288</v>
      </c>
      <c r="S96" s="30">
        <v>0.115</v>
      </c>
      <c r="T96" s="30">
        <v>0.04</v>
      </c>
      <c r="U96" s="1006"/>
      <c r="V96" s="1007"/>
      <c r="W96" s="1008"/>
      <c r="X96" s="1009">
        <v>0</v>
      </c>
      <c r="Y96" s="1008"/>
      <c r="Z96" s="1009">
        <v>0</v>
      </c>
      <c r="AA96" s="1008"/>
      <c r="AB96" s="1009"/>
      <c r="AC96" s="1008">
        <v>0</v>
      </c>
      <c r="AD96" s="1009">
        <v>0</v>
      </c>
      <c r="AE96" s="1008">
        <v>0</v>
      </c>
      <c r="AF96" s="1009">
        <v>0</v>
      </c>
      <c r="AG96" s="1010"/>
      <c r="AH96" s="1011"/>
      <c r="AI96" s="1008">
        <v>0</v>
      </c>
      <c r="AJ96" s="1009">
        <v>0</v>
      </c>
      <c r="AK96" s="1012">
        <v>0</v>
      </c>
      <c r="AL96" s="1013">
        <v>0</v>
      </c>
      <c r="AM96" s="1008">
        <v>0</v>
      </c>
      <c r="AN96" s="1014">
        <v>0</v>
      </c>
      <c r="AO96" s="1008">
        <v>0</v>
      </c>
      <c r="AP96" s="1014">
        <v>0</v>
      </c>
      <c r="AQ96" s="1008">
        <v>0</v>
      </c>
      <c r="AR96" s="1014">
        <v>0</v>
      </c>
      <c r="AS96" s="1008">
        <v>0</v>
      </c>
      <c r="AT96" s="1014">
        <v>0</v>
      </c>
      <c r="AU96" s="1008">
        <v>0</v>
      </c>
      <c r="AV96" s="1014">
        <v>0</v>
      </c>
      <c r="AW96" s="1008">
        <v>0</v>
      </c>
      <c r="AX96" s="1014">
        <v>0</v>
      </c>
      <c r="AZ96" s="1006"/>
      <c r="BA96" s="1015"/>
      <c r="BD96" s="42"/>
      <c r="BI96" s="22"/>
      <c r="BJ96" s="58"/>
      <c r="BL96" s="22"/>
      <c r="BN96" s="44"/>
      <c r="BP96" s="45"/>
      <c r="BQ96" s="46"/>
      <c r="CA96">
        <v>0</v>
      </c>
      <c r="CB96" t="b">
        <f t="shared" si="11"/>
        <v>1</v>
      </c>
    </row>
    <row r="97" spans="1:80" ht="15" customHeight="1" x14ac:dyDescent="0.25">
      <c r="A97" s="22">
        <v>1715</v>
      </c>
      <c r="B97" s="23" t="s">
        <v>308</v>
      </c>
      <c r="C97" s="22" t="s">
        <v>170</v>
      </c>
      <c r="D97" s="23" t="s">
        <v>218</v>
      </c>
      <c r="E97" s="23" t="s">
        <v>218</v>
      </c>
      <c r="F97" s="22" t="s">
        <v>255</v>
      </c>
      <c r="G97" s="22" t="s">
        <v>255</v>
      </c>
      <c r="H97" s="23" t="s">
        <v>309</v>
      </c>
      <c r="I97" s="24" t="s">
        <v>309</v>
      </c>
      <c r="J97" s="1016">
        <v>4.1666670000000003E-2</v>
      </c>
      <c r="K97" s="26" t="s">
        <v>94</v>
      </c>
      <c r="L97" s="27">
        <v>1.5</v>
      </c>
      <c r="M97" s="28">
        <v>6</v>
      </c>
      <c r="N97" s="27">
        <f t="shared" si="8"/>
        <v>9</v>
      </c>
      <c r="O97" s="27">
        <f t="shared" si="9"/>
        <v>1.5850890001451705</v>
      </c>
      <c r="P97" s="28">
        <v>4</v>
      </c>
      <c r="Q97" s="28">
        <v>28</v>
      </c>
      <c r="R97" s="29">
        <f t="shared" si="13"/>
        <v>112</v>
      </c>
      <c r="S97" s="30">
        <v>0.115</v>
      </c>
      <c r="T97" s="30">
        <v>0.04</v>
      </c>
      <c r="U97" s="1017">
        <v>0</v>
      </c>
      <c r="V97" s="1018"/>
      <c r="W97" s="1019">
        <v>0</v>
      </c>
      <c r="X97" s="1020">
        <v>0</v>
      </c>
      <c r="Y97" s="1019">
        <v>0</v>
      </c>
      <c r="Z97" s="1020">
        <v>0</v>
      </c>
      <c r="AA97" s="1019"/>
      <c r="AB97" s="1020">
        <v>0</v>
      </c>
      <c r="AC97" s="1019">
        <v>0</v>
      </c>
      <c r="AD97" s="1020">
        <v>0</v>
      </c>
      <c r="AE97" s="1019">
        <v>0</v>
      </c>
      <c r="AF97" s="1020">
        <v>0</v>
      </c>
      <c r="AG97" s="1021"/>
      <c r="AH97" s="1022"/>
      <c r="AI97" s="1019">
        <v>0</v>
      </c>
      <c r="AJ97" s="1020">
        <v>0</v>
      </c>
      <c r="AK97" s="1023">
        <v>0</v>
      </c>
      <c r="AL97" s="1024">
        <v>0</v>
      </c>
      <c r="AM97" s="1019">
        <v>0</v>
      </c>
      <c r="AN97" s="1025">
        <v>0</v>
      </c>
      <c r="AO97" s="1019">
        <v>0</v>
      </c>
      <c r="AP97" s="1025">
        <v>0</v>
      </c>
      <c r="AQ97" s="1019">
        <v>0</v>
      </c>
      <c r="AR97" s="1025">
        <v>0</v>
      </c>
      <c r="AS97" s="1019">
        <v>0</v>
      </c>
      <c r="AT97" s="1025">
        <v>0</v>
      </c>
      <c r="AU97" s="1019">
        <v>0</v>
      </c>
      <c r="AV97" s="1025">
        <v>0</v>
      </c>
      <c r="AW97" s="1019">
        <v>0</v>
      </c>
      <c r="AX97" s="1025">
        <v>0</v>
      </c>
      <c r="AZ97" s="1017"/>
      <c r="BA97" s="1026"/>
      <c r="BD97" s="42"/>
      <c r="BI97" s="22"/>
      <c r="BJ97" s="58"/>
      <c r="BL97" s="22" t="s">
        <v>310</v>
      </c>
      <c r="BN97" s="44"/>
      <c r="BP97" s="45"/>
      <c r="BQ97" s="46"/>
      <c r="BZ97">
        <v>0</v>
      </c>
      <c r="CA97">
        <v>0</v>
      </c>
      <c r="CB97" t="b">
        <f t="shared" si="11"/>
        <v>1</v>
      </c>
    </row>
    <row r="98" spans="1:80" ht="15" customHeight="1" x14ac:dyDescent="0.25">
      <c r="A98" s="22">
        <v>1720</v>
      </c>
      <c r="B98" s="23" t="s">
        <v>311</v>
      </c>
      <c r="C98" s="22" t="s">
        <v>170</v>
      </c>
      <c r="D98" s="23" t="s">
        <v>300</v>
      </c>
      <c r="E98" s="23" t="s">
        <v>136</v>
      </c>
      <c r="F98" s="22" t="s">
        <v>102</v>
      </c>
      <c r="G98" s="22" t="s">
        <v>102</v>
      </c>
      <c r="H98" s="23" t="s">
        <v>301</v>
      </c>
      <c r="I98" s="24" t="s">
        <v>301</v>
      </c>
      <c r="J98" s="1027">
        <v>0</v>
      </c>
      <c r="K98" s="26" t="s">
        <v>81</v>
      </c>
      <c r="L98" s="27">
        <v>0.5</v>
      </c>
      <c r="M98" s="28">
        <v>12</v>
      </c>
      <c r="N98" s="27">
        <f t="shared" si="8"/>
        <v>6</v>
      </c>
      <c r="O98" s="27">
        <f t="shared" si="9"/>
        <v>1.0567260000967802</v>
      </c>
      <c r="P98" s="28">
        <v>6</v>
      </c>
      <c r="Q98" s="28">
        <v>24</v>
      </c>
      <c r="R98" s="29">
        <f t="shared" si="13"/>
        <v>144</v>
      </c>
      <c r="S98" s="30">
        <v>2.5000000000000001E-2</v>
      </c>
      <c r="T98" s="30">
        <v>0</v>
      </c>
      <c r="U98" s="1028">
        <v>939153</v>
      </c>
      <c r="V98" s="1029">
        <v>3.0000000000000001E-3</v>
      </c>
      <c r="W98" s="1030">
        <v>0</v>
      </c>
      <c r="X98" s="1031">
        <v>0</v>
      </c>
      <c r="Y98" s="1030">
        <v>0</v>
      </c>
      <c r="Z98" s="1031">
        <v>0</v>
      </c>
      <c r="AA98" s="1030">
        <v>938972</v>
      </c>
      <c r="AB98" s="1031">
        <v>12</v>
      </c>
      <c r="AC98" s="1030">
        <v>936445</v>
      </c>
      <c r="AD98" s="1031">
        <v>12</v>
      </c>
      <c r="AE98" s="1030">
        <v>939863</v>
      </c>
      <c r="AF98" s="1031">
        <v>12</v>
      </c>
      <c r="AG98" s="1032"/>
      <c r="AH98" s="1033"/>
      <c r="AI98" s="1030">
        <v>0</v>
      </c>
      <c r="AJ98" s="1031">
        <v>0</v>
      </c>
      <c r="AK98" s="1034">
        <v>0</v>
      </c>
      <c r="AL98" s="1035">
        <v>0</v>
      </c>
      <c r="AM98" s="1030">
        <v>932317</v>
      </c>
      <c r="AN98" s="1036">
        <v>1.8200000000000001E-2</v>
      </c>
      <c r="AO98" s="1030">
        <v>902311</v>
      </c>
      <c r="AP98" s="1036">
        <v>2.7777777777777779E-3</v>
      </c>
      <c r="AQ98" s="1030">
        <v>933089</v>
      </c>
      <c r="AR98" s="1036">
        <v>3.4722222222222224E-2</v>
      </c>
      <c r="AS98" s="1030">
        <f>IF(K98="P",903360,0)</f>
        <v>903360</v>
      </c>
      <c r="AT98" s="1036">
        <f>1/R98</f>
        <v>6.9444444444444441E-3</v>
      </c>
      <c r="AU98" s="1030">
        <v>0</v>
      </c>
      <c r="AV98" s="1036">
        <v>0</v>
      </c>
      <c r="AW98" s="1030">
        <v>0</v>
      </c>
      <c r="AX98" s="1036">
        <v>0</v>
      </c>
      <c r="AZ98" s="1028">
        <v>936704</v>
      </c>
      <c r="BA98" s="1037">
        <v>3.4510859409123774E-2</v>
      </c>
      <c r="BD98" s="42"/>
      <c r="BI98" s="22"/>
      <c r="BJ98" s="58"/>
      <c r="BL98" s="22" t="s">
        <v>255</v>
      </c>
      <c r="BN98" s="44"/>
      <c r="BP98" s="45"/>
      <c r="BQ98" s="46"/>
      <c r="BZ98">
        <v>939153</v>
      </c>
      <c r="CA98">
        <v>939153</v>
      </c>
      <c r="CB98" t="b">
        <f t="shared" si="11"/>
        <v>1</v>
      </c>
    </row>
    <row r="99" spans="1:80" ht="15" customHeight="1" x14ac:dyDescent="0.25">
      <c r="A99" s="22">
        <v>1730</v>
      </c>
      <c r="B99" s="23" t="s">
        <v>312</v>
      </c>
      <c r="C99" s="22" t="s">
        <v>170</v>
      </c>
      <c r="D99" s="23" t="s">
        <v>300</v>
      </c>
      <c r="E99" s="23" t="s">
        <v>136</v>
      </c>
      <c r="F99" s="22" t="s">
        <v>123</v>
      </c>
      <c r="G99" s="22" t="s">
        <v>123</v>
      </c>
      <c r="H99" s="23" t="s">
        <v>313</v>
      </c>
      <c r="I99" s="24" t="s">
        <v>313</v>
      </c>
      <c r="J99" s="1038">
        <v>0</v>
      </c>
      <c r="K99" s="26" t="s">
        <v>81</v>
      </c>
      <c r="L99" s="27">
        <v>3</v>
      </c>
      <c r="M99" s="28">
        <v>6</v>
      </c>
      <c r="N99" s="27">
        <f t="shared" si="8"/>
        <v>18</v>
      </c>
      <c r="O99" s="27">
        <f t="shared" si="9"/>
        <v>3.170178000290341</v>
      </c>
      <c r="P99" s="28">
        <v>4</v>
      </c>
      <c r="Q99" s="28">
        <v>15</v>
      </c>
      <c r="R99" s="29">
        <f t="shared" si="13"/>
        <v>60</v>
      </c>
      <c r="S99" s="30">
        <v>2.5000000000000001E-2</v>
      </c>
      <c r="T99" s="30">
        <v>0</v>
      </c>
      <c r="U99" s="1039">
        <v>939153</v>
      </c>
      <c r="V99" s="1040">
        <v>9.0000000000000011E-3</v>
      </c>
      <c r="W99" s="1041">
        <v>0</v>
      </c>
      <c r="X99" s="1042">
        <v>0</v>
      </c>
      <c r="Y99" s="1041">
        <v>0</v>
      </c>
      <c r="Z99" s="1042">
        <v>0</v>
      </c>
      <c r="AA99" s="1041">
        <v>938972</v>
      </c>
      <c r="AB99" s="1042">
        <v>6</v>
      </c>
      <c r="AC99" s="1041">
        <v>936975</v>
      </c>
      <c r="AD99" s="1042">
        <v>6</v>
      </c>
      <c r="AE99" s="1041">
        <v>938165</v>
      </c>
      <c r="AF99" s="1042">
        <v>6</v>
      </c>
      <c r="AG99" s="1043"/>
      <c r="AH99" s="1044"/>
      <c r="AI99" s="1041">
        <v>0</v>
      </c>
      <c r="AJ99" s="1042">
        <v>0</v>
      </c>
      <c r="AK99" s="1045">
        <v>0</v>
      </c>
      <c r="AL99" s="1046">
        <v>0</v>
      </c>
      <c r="AM99" s="1041">
        <v>902310</v>
      </c>
      <c r="AN99" s="1047">
        <v>3.3399999999999999E-2</v>
      </c>
      <c r="AO99" s="1041">
        <v>902311</v>
      </c>
      <c r="AP99" s="1047">
        <v>4.365E-3</v>
      </c>
      <c r="AQ99" s="1041">
        <v>933089</v>
      </c>
      <c r="AR99" s="1047">
        <v>0.05</v>
      </c>
      <c r="AS99" s="1041">
        <f>IF(K99="P",903360,0)</f>
        <v>903360</v>
      </c>
      <c r="AT99" s="1047">
        <f>1/R99</f>
        <v>1.6666666666666666E-2</v>
      </c>
      <c r="AU99" s="1041">
        <v>0</v>
      </c>
      <c r="AV99" s="1047">
        <v>0</v>
      </c>
      <c r="AW99" s="1041">
        <v>0</v>
      </c>
      <c r="AX99" s="1047">
        <v>0</v>
      </c>
      <c r="AZ99" s="1039">
        <v>936704</v>
      </c>
      <c r="BA99" s="1048">
        <v>3.4510859409123774E-2</v>
      </c>
      <c r="BD99" s="42"/>
      <c r="BI99" s="22"/>
      <c r="BJ99" s="58"/>
      <c r="BL99" s="22" t="s">
        <v>118</v>
      </c>
      <c r="BN99" s="44"/>
      <c r="BP99" s="45"/>
      <c r="BQ99" s="46"/>
      <c r="BZ99">
        <v>939153</v>
      </c>
      <c r="CA99">
        <v>939153</v>
      </c>
      <c r="CB99" t="b">
        <f t="shared" si="11"/>
        <v>1</v>
      </c>
    </row>
    <row r="100" spans="1:80" ht="15" customHeight="1" x14ac:dyDescent="0.25">
      <c r="A100" s="22">
        <v>1740</v>
      </c>
      <c r="B100" s="23" t="s">
        <v>314</v>
      </c>
      <c r="C100" s="22" t="s">
        <v>170</v>
      </c>
      <c r="D100" s="23" t="s">
        <v>300</v>
      </c>
      <c r="E100" s="23" t="s">
        <v>136</v>
      </c>
      <c r="F100" s="22" t="s">
        <v>255</v>
      </c>
      <c r="G100" s="22" t="s">
        <v>255</v>
      </c>
      <c r="H100" s="23" t="s">
        <v>303</v>
      </c>
      <c r="I100" s="24" t="s">
        <v>303</v>
      </c>
      <c r="J100" s="1049">
        <v>0</v>
      </c>
      <c r="K100" s="26" t="s">
        <v>81</v>
      </c>
      <c r="L100" s="27">
        <v>1.5</v>
      </c>
      <c r="M100" s="28">
        <v>6</v>
      </c>
      <c r="N100" s="27">
        <f t="shared" si="8"/>
        <v>9</v>
      </c>
      <c r="O100" s="27">
        <f t="shared" si="9"/>
        <v>1.5850890001451705</v>
      </c>
      <c r="P100" s="28">
        <v>4</v>
      </c>
      <c r="Q100" s="28">
        <v>28</v>
      </c>
      <c r="R100" s="29">
        <f t="shared" si="13"/>
        <v>112</v>
      </c>
      <c r="S100" s="30">
        <v>2.5000000000000001E-2</v>
      </c>
      <c r="T100" s="30">
        <v>0</v>
      </c>
      <c r="U100" s="1050">
        <v>939153</v>
      </c>
      <c r="V100" s="1051">
        <v>4.5000000000000005E-3</v>
      </c>
      <c r="W100" s="1052">
        <v>0</v>
      </c>
      <c r="X100" s="1053">
        <v>0</v>
      </c>
      <c r="Y100" s="1052">
        <v>0</v>
      </c>
      <c r="Z100" s="1053">
        <v>0</v>
      </c>
      <c r="AA100" s="1052">
        <v>938972</v>
      </c>
      <c r="AB100" s="1053">
        <v>6</v>
      </c>
      <c r="AC100" s="1052">
        <v>936446</v>
      </c>
      <c r="AD100" s="1053">
        <v>6</v>
      </c>
      <c r="AE100" s="1052">
        <v>938979</v>
      </c>
      <c r="AF100" s="1053">
        <v>6</v>
      </c>
      <c r="AG100" s="1054"/>
      <c r="AH100" s="1055"/>
      <c r="AI100" s="1052">
        <v>0</v>
      </c>
      <c r="AJ100" s="1053">
        <v>0</v>
      </c>
      <c r="AK100" s="1056">
        <v>0</v>
      </c>
      <c r="AL100" s="1057">
        <v>0</v>
      </c>
      <c r="AM100" s="1052">
        <v>932317</v>
      </c>
      <c r="AN100" s="1058">
        <v>2.1999999999999999E-2</v>
      </c>
      <c r="AO100" s="1052">
        <v>902311</v>
      </c>
      <c r="AP100" s="1058">
        <v>4.1666666666666666E-3</v>
      </c>
      <c r="AQ100" s="1052">
        <v>933089</v>
      </c>
      <c r="AR100" s="1058">
        <v>2.6785714285714284E-2</v>
      </c>
      <c r="AS100" s="1052">
        <f>IF(K100="P",903360,0)</f>
        <v>903360</v>
      </c>
      <c r="AT100" s="1058">
        <f>1/R100</f>
        <v>8.9285714285714281E-3</v>
      </c>
      <c r="AU100" s="1052">
        <v>0</v>
      </c>
      <c r="AV100" s="1058">
        <v>0</v>
      </c>
      <c r="AW100" s="1052">
        <v>0</v>
      </c>
      <c r="AX100" s="1058">
        <v>0</v>
      </c>
      <c r="AZ100" s="1050">
        <v>936704</v>
      </c>
      <c r="BA100" s="1059">
        <v>3.4510859409123774E-2</v>
      </c>
      <c r="BD100" s="42"/>
      <c r="BI100" s="22"/>
      <c r="BJ100" s="58"/>
      <c r="BL100" s="22" t="s">
        <v>310</v>
      </c>
      <c r="BN100" s="44"/>
      <c r="BP100" s="45"/>
      <c r="BQ100" s="46"/>
      <c r="BZ100">
        <v>939153</v>
      </c>
      <c r="CA100">
        <v>939153</v>
      </c>
      <c r="CB100" t="b">
        <f t="shared" si="11"/>
        <v>1</v>
      </c>
    </row>
    <row r="101" spans="1:80" ht="15" customHeight="1" x14ac:dyDescent="0.25">
      <c r="A101" s="22">
        <v>1758</v>
      </c>
      <c r="B101" s="23" t="s">
        <v>315</v>
      </c>
      <c r="C101" s="22" t="s">
        <v>170</v>
      </c>
      <c r="D101" s="23" t="s">
        <v>300</v>
      </c>
      <c r="E101" s="23" t="s">
        <v>136</v>
      </c>
      <c r="F101" s="22" t="s">
        <v>118</v>
      </c>
      <c r="G101" s="22" t="s">
        <v>118</v>
      </c>
      <c r="H101" s="23" t="s">
        <v>305</v>
      </c>
      <c r="I101" s="24" t="s">
        <v>305</v>
      </c>
      <c r="J101" s="1060">
        <v>0</v>
      </c>
      <c r="K101" s="26" t="s">
        <v>81</v>
      </c>
      <c r="L101" s="27">
        <v>2.25</v>
      </c>
      <c r="M101" s="28">
        <v>6</v>
      </c>
      <c r="N101" s="27">
        <f t="shared" si="8"/>
        <v>13.5</v>
      </c>
      <c r="O101" s="27">
        <f t="shared" si="9"/>
        <v>2.3776335002177555</v>
      </c>
      <c r="P101" s="28">
        <v>4</v>
      </c>
      <c r="Q101" s="28">
        <v>20</v>
      </c>
      <c r="R101" s="29">
        <f t="shared" si="13"/>
        <v>80</v>
      </c>
      <c r="S101" s="30">
        <v>2.5000000000000001E-2</v>
      </c>
      <c r="T101" s="30">
        <v>0</v>
      </c>
      <c r="U101" s="1061">
        <v>939153</v>
      </c>
      <c r="V101" s="1062">
        <v>6.7499999999999991E-3</v>
      </c>
      <c r="W101" s="1063">
        <v>0</v>
      </c>
      <c r="X101" s="1064">
        <v>0</v>
      </c>
      <c r="Y101" s="1063">
        <v>0</v>
      </c>
      <c r="Z101" s="1064">
        <v>0</v>
      </c>
      <c r="AA101" s="1063">
        <v>938972</v>
      </c>
      <c r="AB101" s="1064">
        <v>6</v>
      </c>
      <c r="AC101" s="1063">
        <v>936447</v>
      </c>
      <c r="AD101" s="1064">
        <v>6</v>
      </c>
      <c r="AE101" s="1063">
        <v>904570</v>
      </c>
      <c r="AF101" s="1064">
        <v>6</v>
      </c>
      <c r="AG101" s="1065"/>
      <c r="AH101" s="1066"/>
      <c r="AI101" s="1063">
        <v>0</v>
      </c>
      <c r="AJ101" s="1064">
        <v>0</v>
      </c>
      <c r="AK101" s="1067">
        <v>0</v>
      </c>
      <c r="AL101" s="1068">
        <v>0</v>
      </c>
      <c r="AM101" s="1063">
        <v>917330</v>
      </c>
      <c r="AN101" s="1069">
        <v>2.64E-2</v>
      </c>
      <c r="AO101" s="1063">
        <v>902311</v>
      </c>
      <c r="AP101" s="1069">
        <v>4.3750000000000004E-3</v>
      </c>
      <c r="AQ101" s="1063">
        <v>933089</v>
      </c>
      <c r="AR101" s="1069">
        <v>3.7499999999999999E-2</v>
      </c>
      <c r="AS101" s="1063">
        <f>IF(K101="P",903360,0)</f>
        <v>903360</v>
      </c>
      <c r="AT101" s="1069">
        <f>1/R101</f>
        <v>1.2500000000000001E-2</v>
      </c>
      <c r="AU101" s="1063">
        <v>0</v>
      </c>
      <c r="AV101" s="1069">
        <v>0</v>
      </c>
      <c r="AW101" s="1063">
        <v>0</v>
      </c>
      <c r="AX101" s="1069">
        <v>0</v>
      </c>
      <c r="AZ101" s="1061">
        <v>936704</v>
      </c>
      <c r="BA101" s="1070">
        <v>3.4510859409123774E-2</v>
      </c>
      <c r="BD101" s="42"/>
      <c r="BI101" s="22"/>
      <c r="BJ101" s="58"/>
      <c r="BL101" s="22" t="s">
        <v>255</v>
      </c>
      <c r="BN101" s="44"/>
      <c r="BP101" s="45"/>
      <c r="BQ101" s="46"/>
      <c r="BZ101">
        <v>939153</v>
      </c>
      <c r="CA101">
        <v>939153</v>
      </c>
      <c r="CB101" t="b">
        <f t="shared" si="11"/>
        <v>1</v>
      </c>
    </row>
    <row r="102" spans="1:80" ht="15" customHeight="1" x14ac:dyDescent="0.25">
      <c r="A102" s="22">
        <v>1759</v>
      </c>
      <c r="B102" s="23" t="s">
        <v>316</v>
      </c>
      <c r="C102" s="22" t="s">
        <v>170</v>
      </c>
      <c r="D102" s="23" t="s">
        <v>218</v>
      </c>
      <c r="E102" s="23" t="s">
        <v>218</v>
      </c>
      <c r="F102" s="22" t="s">
        <v>269</v>
      </c>
      <c r="G102" s="22" t="s">
        <v>269</v>
      </c>
      <c r="H102" s="23" t="s">
        <v>307</v>
      </c>
      <c r="I102" s="24" t="s">
        <v>307</v>
      </c>
      <c r="J102" s="1071">
        <v>4.1666670000000003E-2</v>
      </c>
      <c r="K102" s="26" t="s">
        <v>94</v>
      </c>
      <c r="L102" s="27">
        <v>0.59099999999999997</v>
      </c>
      <c r="M102" s="28">
        <v>6</v>
      </c>
      <c r="N102" s="27">
        <f t="shared" si="8"/>
        <v>3.5459999999999998</v>
      </c>
      <c r="O102" s="27">
        <f t="shared" si="9"/>
        <v>0.62452506605719715</v>
      </c>
      <c r="P102" s="28">
        <v>6</v>
      </c>
      <c r="Q102" s="28">
        <v>48</v>
      </c>
      <c r="R102" s="29">
        <f t="shared" si="13"/>
        <v>288</v>
      </c>
      <c r="S102" s="30">
        <v>0.115</v>
      </c>
      <c r="T102" s="30">
        <v>0.04</v>
      </c>
      <c r="U102" s="1072">
        <v>0</v>
      </c>
      <c r="V102" s="1073"/>
      <c r="W102" s="1074">
        <v>0</v>
      </c>
      <c r="X102" s="1075">
        <v>0</v>
      </c>
      <c r="Y102" s="1074">
        <v>0</v>
      </c>
      <c r="Z102" s="1075">
        <v>0</v>
      </c>
      <c r="AA102" s="1074"/>
      <c r="AB102" s="1075">
        <v>0</v>
      </c>
      <c r="AC102" s="1074">
        <v>0</v>
      </c>
      <c r="AD102" s="1075">
        <v>0</v>
      </c>
      <c r="AE102" s="1074">
        <v>0</v>
      </c>
      <c r="AF102" s="1075">
        <v>0</v>
      </c>
      <c r="AG102" s="1076"/>
      <c r="AH102" s="1077"/>
      <c r="AI102" s="1074">
        <v>0</v>
      </c>
      <c r="AJ102" s="1075">
        <v>0</v>
      </c>
      <c r="AK102" s="1078">
        <v>0</v>
      </c>
      <c r="AL102" s="1079">
        <v>0</v>
      </c>
      <c r="AM102" s="1074">
        <v>0</v>
      </c>
      <c r="AN102" s="1080">
        <v>0</v>
      </c>
      <c r="AO102" s="1074">
        <v>0</v>
      </c>
      <c r="AP102" s="1080">
        <v>0</v>
      </c>
      <c r="AQ102" s="1074">
        <v>0</v>
      </c>
      <c r="AR102" s="1080">
        <v>0</v>
      </c>
      <c r="AS102" s="1074">
        <v>0</v>
      </c>
      <c r="AT102" s="1080">
        <v>0</v>
      </c>
      <c r="AU102" s="1074">
        <v>0</v>
      </c>
      <c r="AV102" s="1080">
        <v>0</v>
      </c>
      <c r="AW102" s="1074">
        <v>0</v>
      </c>
      <c r="AX102" s="1080">
        <v>0</v>
      </c>
      <c r="AZ102" s="1072"/>
      <c r="BA102" s="1081"/>
      <c r="BD102" s="42"/>
      <c r="BI102" s="22"/>
      <c r="BJ102" s="58"/>
      <c r="BL102" s="22" t="s">
        <v>118</v>
      </c>
      <c r="BN102" s="44"/>
      <c r="BP102" s="45"/>
      <c r="BQ102" s="46"/>
      <c r="BZ102">
        <v>0</v>
      </c>
      <c r="CA102">
        <v>0</v>
      </c>
      <c r="CB102" t="b">
        <f t="shared" si="11"/>
        <v>1</v>
      </c>
    </row>
    <row r="103" spans="1:80" ht="15" customHeight="1" x14ac:dyDescent="0.25">
      <c r="A103" s="22">
        <v>1951</v>
      </c>
      <c r="B103" s="23" t="s">
        <v>317</v>
      </c>
      <c r="C103" s="22" t="s">
        <v>170</v>
      </c>
      <c r="D103" s="23" t="s">
        <v>300</v>
      </c>
      <c r="E103" s="23" t="s">
        <v>131</v>
      </c>
      <c r="F103" s="22" t="s">
        <v>102</v>
      </c>
      <c r="G103" s="22" t="s">
        <v>102</v>
      </c>
      <c r="H103" s="23" t="s">
        <v>301</v>
      </c>
      <c r="I103" s="24" t="s">
        <v>301</v>
      </c>
      <c r="J103" s="1082">
        <v>0</v>
      </c>
      <c r="K103" s="26" t="s">
        <v>81</v>
      </c>
      <c r="L103" s="27">
        <v>0.5</v>
      </c>
      <c r="M103" s="28">
        <v>12</v>
      </c>
      <c r="N103" s="27">
        <f t="shared" si="8"/>
        <v>6</v>
      </c>
      <c r="O103" s="27">
        <f t="shared" si="9"/>
        <v>1.0567260000967802</v>
      </c>
      <c r="P103" s="28">
        <v>6</v>
      </c>
      <c r="Q103" s="28">
        <v>24</v>
      </c>
      <c r="R103" s="29">
        <f t="shared" si="13"/>
        <v>144</v>
      </c>
      <c r="S103" s="30">
        <v>2.5000000000000001E-2</v>
      </c>
      <c r="T103" s="30">
        <v>0</v>
      </c>
      <c r="U103" s="1083"/>
      <c r="V103" s="1084"/>
      <c r="W103" s="1085"/>
      <c r="X103" s="1086"/>
      <c r="Y103" s="1085"/>
      <c r="Z103" s="1086"/>
      <c r="AA103" s="1085"/>
      <c r="AB103" s="1086"/>
      <c r="AC103" s="1085">
        <v>0</v>
      </c>
      <c r="AD103" s="1086">
        <v>0</v>
      </c>
      <c r="AE103" s="1085">
        <v>0</v>
      </c>
      <c r="AF103" s="1086">
        <v>0</v>
      </c>
      <c r="AG103" s="1087"/>
      <c r="AH103" s="1088"/>
      <c r="AI103" s="1085">
        <v>0</v>
      </c>
      <c r="AJ103" s="1086">
        <v>0</v>
      </c>
      <c r="AK103" s="1089">
        <v>0</v>
      </c>
      <c r="AL103" s="1090">
        <v>0</v>
      </c>
      <c r="AM103" s="1085">
        <v>0</v>
      </c>
      <c r="AN103" s="1091">
        <v>0</v>
      </c>
      <c r="AO103" s="1085">
        <v>0</v>
      </c>
      <c r="AP103" s="1091">
        <v>0</v>
      </c>
      <c r="AQ103" s="1085">
        <v>0</v>
      </c>
      <c r="AR103" s="1091">
        <v>0</v>
      </c>
      <c r="AS103" s="1085">
        <v>0</v>
      </c>
      <c r="AT103" s="1091">
        <v>0</v>
      </c>
      <c r="AU103" s="1085">
        <v>0</v>
      </c>
      <c r="AV103" s="1091">
        <v>0</v>
      </c>
      <c r="AW103" s="1085">
        <v>0</v>
      </c>
      <c r="AX103" s="1091">
        <v>0</v>
      </c>
      <c r="AZ103" s="1083">
        <v>0</v>
      </c>
      <c r="BA103" s="1092">
        <v>0</v>
      </c>
      <c r="BD103" s="42"/>
      <c r="BI103" s="22"/>
      <c r="BJ103" s="58"/>
      <c r="BL103" s="22" t="s">
        <v>118</v>
      </c>
      <c r="BN103" s="44"/>
      <c r="BP103" s="45"/>
      <c r="BQ103" s="46"/>
      <c r="BZ103">
        <v>0</v>
      </c>
      <c r="CA103">
        <v>0</v>
      </c>
      <c r="CB103" t="b">
        <f t="shared" si="11"/>
        <v>1</v>
      </c>
    </row>
    <row r="104" spans="1:80" ht="15" customHeight="1" x14ac:dyDescent="0.25">
      <c r="A104" s="22">
        <v>1952</v>
      </c>
      <c r="B104" s="23" t="s">
        <v>318</v>
      </c>
      <c r="C104" s="22" t="s">
        <v>170</v>
      </c>
      <c r="D104" s="23" t="s">
        <v>300</v>
      </c>
      <c r="E104" s="23" t="s">
        <v>136</v>
      </c>
      <c r="F104" s="22" t="s">
        <v>102</v>
      </c>
      <c r="G104" s="22" t="s">
        <v>102</v>
      </c>
      <c r="H104" s="23" t="s">
        <v>301</v>
      </c>
      <c r="I104" s="24" t="s">
        <v>301</v>
      </c>
      <c r="J104" s="1093">
        <v>0</v>
      </c>
      <c r="K104" s="26" t="s">
        <v>81</v>
      </c>
      <c r="L104" s="27">
        <v>0.5</v>
      </c>
      <c r="M104" s="28">
        <v>12</v>
      </c>
      <c r="N104" s="27">
        <f t="shared" si="8"/>
        <v>6</v>
      </c>
      <c r="O104" s="27">
        <f t="shared" si="9"/>
        <v>1.0567260000967802</v>
      </c>
      <c r="P104" s="28">
        <v>6</v>
      </c>
      <c r="Q104" s="28">
        <v>24</v>
      </c>
      <c r="R104" s="29">
        <f t="shared" si="13"/>
        <v>144</v>
      </c>
      <c r="S104" s="30">
        <v>2.5000000000000001E-2</v>
      </c>
      <c r="T104" s="30">
        <v>0</v>
      </c>
      <c r="U104" s="1094"/>
      <c r="V104" s="1095"/>
      <c r="W104" s="1096"/>
      <c r="X104" s="1097"/>
      <c r="Y104" s="1096"/>
      <c r="Z104" s="1097"/>
      <c r="AA104" s="1096"/>
      <c r="AB104" s="1097"/>
      <c r="AC104" s="1096">
        <v>0</v>
      </c>
      <c r="AD104" s="1097">
        <v>0</v>
      </c>
      <c r="AE104" s="1096">
        <v>0</v>
      </c>
      <c r="AF104" s="1097">
        <v>0</v>
      </c>
      <c r="AG104" s="1098"/>
      <c r="AH104" s="1099"/>
      <c r="AI104" s="1096">
        <v>0</v>
      </c>
      <c r="AJ104" s="1097">
        <v>0</v>
      </c>
      <c r="AK104" s="1100">
        <v>0</v>
      </c>
      <c r="AL104" s="1101">
        <v>0</v>
      </c>
      <c r="AM104" s="1096">
        <v>0</v>
      </c>
      <c r="AN104" s="1102">
        <v>0</v>
      </c>
      <c r="AO104" s="1096">
        <v>0</v>
      </c>
      <c r="AP104" s="1102">
        <v>0</v>
      </c>
      <c r="AQ104" s="1096">
        <v>0</v>
      </c>
      <c r="AR104" s="1102">
        <v>0</v>
      </c>
      <c r="AS104" s="1096">
        <v>0</v>
      </c>
      <c r="AT104" s="1102">
        <v>0</v>
      </c>
      <c r="AU104" s="1096">
        <v>0</v>
      </c>
      <c r="AV104" s="1102">
        <v>0</v>
      </c>
      <c r="AW104" s="1096">
        <v>0</v>
      </c>
      <c r="AX104" s="1102">
        <v>0</v>
      </c>
      <c r="AZ104" s="1094">
        <v>0</v>
      </c>
      <c r="BA104" s="1103">
        <v>0</v>
      </c>
      <c r="BD104" s="42"/>
      <c r="BI104" s="22"/>
      <c r="BJ104" s="58"/>
      <c r="BL104" s="22" t="s">
        <v>310</v>
      </c>
      <c r="BN104" s="44"/>
      <c r="BP104" s="45"/>
      <c r="BQ104" s="46"/>
      <c r="BZ104">
        <v>0</v>
      </c>
      <c r="CA104">
        <v>0</v>
      </c>
      <c r="CB104" t="b">
        <f t="shared" si="11"/>
        <v>1</v>
      </c>
    </row>
    <row r="105" spans="1:80" ht="15" customHeight="1" x14ac:dyDescent="0.25">
      <c r="A105" s="22">
        <v>1958</v>
      </c>
      <c r="B105" s="23" t="s">
        <v>319</v>
      </c>
      <c r="C105" s="22" t="s">
        <v>76</v>
      </c>
      <c r="D105" s="1104" t="s">
        <v>77</v>
      </c>
      <c r="E105" s="1104" t="s">
        <v>78</v>
      </c>
      <c r="F105" s="22" t="s">
        <v>320</v>
      </c>
      <c r="G105" s="22" t="s">
        <v>320</v>
      </c>
      <c r="H105" s="23" t="s">
        <v>321</v>
      </c>
      <c r="I105" s="24" t="s">
        <v>321</v>
      </c>
      <c r="J105" s="1105"/>
      <c r="K105" s="26" t="s">
        <v>81</v>
      </c>
      <c r="L105" s="27">
        <v>2.25</v>
      </c>
      <c r="M105" s="28">
        <v>8</v>
      </c>
      <c r="N105" s="27">
        <f t="shared" si="8"/>
        <v>18</v>
      </c>
      <c r="O105" s="27">
        <f t="shared" si="9"/>
        <v>3.170178000290341</v>
      </c>
      <c r="P105" s="28">
        <v>4</v>
      </c>
      <c r="Q105" s="28">
        <v>15</v>
      </c>
      <c r="R105" s="29">
        <f t="shared" si="13"/>
        <v>60</v>
      </c>
      <c r="S105" s="30">
        <f>(S17+S57)/2</f>
        <v>0.22559999999999999</v>
      </c>
      <c r="T105" s="30"/>
      <c r="U105" s="1106"/>
      <c r="V105" s="1107"/>
      <c r="W105" s="1108">
        <v>902332</v>
      </c>
      <c r="X105" s="1109">
        <f>(X17+X57)/12*8</f>
        <v>1.7766938437500002</v>
      </c>
      <c r="Y105" s="1108">
        <v>902338</v>
      </c>
      <c r="Z105" s="1109">
        <f>(Z17+Z57)/12*8</f>
        <v>0.15681599999999998</v>
      </c>
      <c r="AA105" s="1108"/>
      <c r="AB105" s="1109">
        <v>8</v>
      </c>
      <c r="AC105" s="1108">
        <v>938706</v>
      </c>
      <c r="AD105" s="1109">
        <v>4</v>
      </c>
      <c r="AE105" s="1108"/>
      <c r="AF105" s="1109">
        <v>8</v>
      </c>
      <c r="AG105" s="1110"/>
      <c r="AH105" s="1111"/>
      <c r="AI105" s="1108"/>
      <c r="AJ105" s="1109"/>
      <c r="AK105" s="1112">
        <v>0</v>
      </c>
      <c r="AL105" s="1113">
        <v>0</v>
      </c>
      <c r="AM105" s="1108">
        <v>932442</v>
      </c>
      <c r="AN105" s="1114">
        <v>3.1600000000000003E-2</v>
      </c>
      <c r="AO105" s="1108">
        <f>AO17</f>
        <v>902311</v>
      </c>
      <c r="AP105" s="1114">
        <f>AP17</f>
        <v>4.3750000000000004E-3</v>
      </c>
      <c r="AQ105" s="1108">
        <v>933089</v>
      </c>
      <c r="AR105" s="1114">
        <f>(P105-1)/R105</f>
        <v>0.05</v>
      </c>
      <c r="AS105" s="1108">
        <f>IF(K105="P",903360,0)</f>
        <v>903360</v>
      </c>
      <c r="AT105" s="1114">
        <f>1/R105</f>
        <v>1.6666666666666666E-2</v>
      </c>
      <c r="AU105" s="1108"/>
      <c r="AV105" s="1114"/>
      <c r="AW105" s="1108"/>
      <c r="AX105" s="1114"/>
      <c r="AZ105" s="1106"/>
      <c r="BA105" s="1115"/>
      <c r="BD105" s="42"/>
      <c r="BI105" s="22"/>
      <c r="BJ105" s="58"/>
      <c r="BL105" s="22"/>
      <c r="BN105" s="44"/>
      <c r="BP105" s="45"/>
      <c r="BQ105" s="46"/>
      <c r="BZ105">
        <v>0</v>
      </c>
      <c r="CA105">
        <v>933975</v>
      </c>
      <c r="CB105" t="b">
        <f t="shared" si="11"/>
        <v>0</v>
      </c>
    </row>
    <row r="106" spans="1:80" ht="15" customHeight="1" x14ac:dyDescent="0.25">
      <c r="A106" s="22">
        <v>1961</v>
      </c>
      <c r="B106" s="23" t="s">
        <v>322</v>
      </c>
      <c r="C106" s="22" t="s">
        <v>170</v>
      </c>
      <c r="D106" s="23" t="s">
        <v>300</v>
      </c>
      <c r="E106" s="23" t="s">
        <v>131</v>
      </c>
      <c r="F106" s="22" t="s">
        <v>255</v>
      </c>
      <c r="G106" s="22" t="s">
        <v>255</v>
      </c>
      <c r="H106" s="23" t="s">
        <v>303</v>
      </c>
      <c r="I106" s="24" t="s">
        <v>303</v>
      </c>
      <c r="J106" s="1116">
        <v>0</v>
      </c>
      <c r="K106" s="26" t="s">
        <v>81</v>
      </c>
      <c r="L106" s="27">
        <v>1.5</v>
      </c>
      <c r="M106" s="28">
        <v>6</v>
      </c>
      <c r="N106" s="27">
        <f t="shared" si="8"/>
        <v>9</v>
      </c>
      <c r="O106" s="27">
        <f t="shared" si="9"/>
        <v>1.5850890001451705</v>
      </c>
      <c r="P106" s="28">
        <v>5</v>
      </c>
      <c r="Q106" s="28">
        <v>24</v>
      </c>
      <c r="R106" s="29">
        <f t="shared" si="13"/>
        <v>120</v>
      </c>
      <c r="S106" s="30">
        <v>2.5000000000000001E-2</v>
      </c>
      <c r="T106" s="30">
        <v>0</v>
      </c>
      <c r="U106" s="1117"/>
      <c r="V106" s="1118"/>
      <c r="W106" s="1119"/>
      <c r="X106" s="1120"/>
      <c r="Y106" s="1119"/>
      <c r="Z106" s="1120"/>
      <c r="AA106" s="1119"/>
      <c r="AB106" s="1120"/>
      <c r="AC106" s="1119">
        <v>0</v>
      </c>
      <c r="AD106" s="1120">
        <v>0</v>
      </c>
      <c r="AE106" s="1119">
        <v>0</v>
      </c>
      <c r="AF106" s="1120">
        <v>0</v>
      </c>
      <c r="AG106" s="1121"/>
      <c r="AH106" s="1122"/>
      <c r="AI106" s="1119">
        <v>0</v>
      </c>
      <c r="AJ106" s="1120">
        <v>0</v>
      </c>
      <c r="AK106" s="1123">
        <v>0</v>
      </c>
      <c r="AL106" s="1124">
        <v>0</v>
      </c>
      <c r="AM106" s="1119">
        <v>0</v>
      </c>
      <c r="AN106" s="1125">
        <v>0</v>
      </c>
      <c r="AO106" s="1119">
        <v>0</v>
      </c>
      <c r="AP106" s="1125">
        <v>0</v>
      </c>
      <c r="AQ106" s="1119">
        <v>0</v>
      </c>
      <c r="AR106" s="1125">
        <v>0</v>
      </c>
      <c r="AS106" s="1119">
        <v>0</v>
      </c>
      <c r="AT106" s="1125">
        <v>0</v>
      </c>
      <c r="AU106" s="1119">
        <v>0</v>
      </c>
      <c r="AV106" s="1125">
        <v>0</v>
      </c>
      <c r="AW106" s="1119">
        <v>0</v>
      </c>
      <c r="AX106" s="1125">
        <v>0</v>
      </c>
      <c r="AZ106" s="1117">
        <v>0</v>
      </c>
      <c r="BA106" s="1126">
        <v>0</v>
      </c>
      <c r="BD106" s="42"/>
      <c r="BI106" s="22"/>
      <c r="BJ106" s="58"/>
      <c r="BL106" s="22" t="s">
        <v>255</v>
      </c>
      <c r="BN106" s="44"/>
      <c r="BP106" s="45"/>
      <c r="BQ106" s="46"/>
      <c r="BZ106">
        <v>0</v>
      </c>
      <c r="CA106">
        <v>0</v>
      </c>
      <c r="CB106" t="b">
        <f t="shared" si="11"/>
        <v>1</v>
      </c>
    </row>
    <row r="107" spans="1:80" ht="15" customHeight="1" x14ac:dyDescent="0.25">
      <c r="A107" s="22">
        <v>1962</v>
      </c>
      <c r="B107" s="23" t="s">
        <v>323</v>
      </c>
      <c r="C107" s="22" t="s">
        <v>170</v>
      </c>
      <c r="D107" s="23" t="s">
        <v>300</v>
      </c>
      <c r="E107" s="23" t="s">
        <v>136</v>
      </c>
      <c r="F107" s="22" t="s">
        <v>255</v>
      </c>
      <c r="G107" s="22" t="s">
        <v>255</v>
      </c>
      <c r="H107" s="23" t="s">
        <v>303</v>
      </c>
      <c r="I107" s="24" t="s">
        <v>303</v>
      </c>
      <c r="J107" s="1127">
        <v>0</v>
      </c>
      <c r="K107" s="26" t="s">
        <v>81</v>
      </c>
      <c r="L107" s="27">
        <v>1.5</v>
      </c>
      <c r="M107" s="28">
        <v>6</v>
      </c>
      <c r="N107" s="27">
        <f t="shared" si="8"/>
        <v>9</v>
      </c>
      <c r="O107" s="27">
        <f t="shared" si="9"/>
        <v>1.5850890001451705</v>
      </c>
      <c r="P107" s="28">
        <v>5</v>
      </c>
      <c r="Q107" s="28">
        <v>24</v>
      </c>
      <c r="R107" s="29">
        <f t="shared" si="13"/>
        <v>120</v>
      </c>
      <c r="S107" s="30">
        <v>2.5000000000000001E-2</v>
      </c>
      <c r="T107" s="30">
        <v>0</v>
      </c>
      <c r="U107" s="1128"/>
      <c r="V107" s="1129"/>
      <c r="W107" s="1130"/>
      <c r="X107" s="1131"/>
      <c r="Y107" s="1130"/>
      <c r="Z107" s="1131"/>
      <c r="AA107" s="1130"/>
      <c r="AB107" s="1131"/>
      <c r="AC107" s="1130">
        <v>0</v>
      </c>
      <c r="AD107" s="1131">
        <v>0</v>
      </c>
      <c r="AE107" s="1130">
        <v>0</v>
      </c>
      <c r="AF107" s="1131">
        <v>0</v>
      </c>
      <c r="AG107" s="1132"/>
      <c r="AH107" s="1133"/>
      <c r="AI107" s="1130">
        <v>0</v>
      </c>
      <c r="AJ107" s="1131">
        <v>0</v>
      </c>
      <c r="AK107" s="1134">
        <v>0</v>
      </c>
      <c r="AL107" s="1135">
        <v>0</v>
      </c>
      <c r="AM107" s="1130">
        <v>0</v>
      </c>
      <c r="AN107" s="1136">
        <v>0</v>
      </c>
      <c r="AO107" s="1130">
        <v>0</v>
      </c>
      <c r="AP107" s="1136">
        <v>0</v>
      </c>
      <c r="AQ107" s="1130">
        <v>0</v>
      </c>
      <c r="AR107" s="1136">
        <v>0</v>
      </c>
      <c r="AS107" s="1130">
        <v>0</v>
      </c>
      <c r="AT107" s="1136">
        <v>0</v>
      </c>
      <c r="AU107" s="1130">
        <v>0</v>
      </c>
      <c r="AV107" s="1136">
        <v>0</v>
      </c>
      <c r="AW107" s="1130">
        <v>0</v>
      </c>
      <c r="AX107" s="1136">
        <v>0</v>
      </c>
      <c r="AZ107" s="1128">
        <v>0</v>
      </c>
      <c r="BA107" s="1137">
        <v>0</v>
      </c>
      <c r="BD107" s="42"/>
      <c r="BI107" s="22"/>
      <c r="BJ107" s="58"/>
      <c r="BL107" s="22" t="s">
        <v>118</v>
      </c>
      <c r="BN107" s="44"/>
      <c r="BP107" s="45"/>
      <c r="BQ107" s="46"/>
      <c r="BZ107">
        <v>0</v>
      </c>
      <c r="CA107">
        <v>0</v>
      </c>
      <c r="CB107" t="b">
        <f t="shared" si="11"/>
        <v>1</v>
      </c>
    </row>
    <row r="108" spans="1:80" ht="15" customHeight="1" x14ac:dyDescent="0.25">
      <c r="A108" s="22">
        <v>1971</v>
      </c>
      <c r="B108" s="23" t="s">
        <v>324</v>
      </c>
      <c r="C108" s="22" t="s">
        <v>170</v>
      </c>
      <c r="D108" s="23" t="s">
        <v>300</v>
      </c>
      <c r="E108" s="23" t="s">
        <v>131</v>
      </c>
      <c r="F108" s="22" t="s">
        <v>118</v>
      </c>
      <c r="G108" s="22" t="s">
        <v>118</v>
      </c>
      <c r="H108" s="23" t="s">
        <v>305</v>
      </c>
      <c r="I108" s="24" t="s">
        <v>305</v>
      </c>
      <c r="J108" s="1138">
        <v>0</v>
      </c>
      <c r="K108" s="26" t="s">
        <v>81</v>
      </c>
      <c r="L108" s="27">
        <v>2.25</v>
      </c>
      <c r="M108" s="28">
        <v>6</v>
      </c>
      <c r="N108" s="27">
        <f t="shared" si="8"/>
        <v>13.5</v>
      </c>
      <c r="O108" s="27">
        <f t="shared" si="9"/>
        <v>2.3776335002177555</v>
      </c>
      <c r="P108" s="28">
        <v>4</v>
      </c>
      <c r="Q108" s="28">
        <v>20</v>
      </c>
      <c r="R108" s="29">
        <f t="shared" si="13"/>
        <v>80</v>
      </c>
      <c r="S108" s="30">
        <v>2.5000000000000001E-2</v>
      </c>
      <c r="T108" s="30">
        <v>0</v>
      </c>
      <c r="U108" s="1139"/>
      <c r="V108" s="1140"/>
      <c r="W108" s="1141"/>
      <c r="X108" s="1142"/>
      <c r="Y108" s="1141"/>
      <c r="Z108" s="1142"/>
      <c r="AA108" s="1141"/>
      <c r="AB108" s="1142"/>
      <c r="AC108" s="1141">
        <v>0</v>
      </c>
      <c r="AD108" s="1142">
        <v>0</v>
      </c>
      <c r="AE108" s="1141">
        <v>0</v>
      </c>
      <c r="AF108" s="1142">
        <v>0</v>
      </c>
      <c r="AG108" s="1143"/>
      <c r="AH108" s="1144"/>
      <c r="AI108" s="1141">
        <v>0</v>
      </c>
      <c r="AJ108" s="1142">
        <v>0</v>
      </c>
      <c r="AK108" s="1145">
        <v>0</v>
      </c>
      <c r="AL108" s="1146">
        <v>0</v>
      </c>
      <c r="AM108" s="1141">
        <v>0</v>
      </c>
      <c r="AN108" s="1147">
        <v>0</v>
      </c>
      <c r="AO108" s="1141">
        <v>0</v>
      </c>
      <c r="AP108" s="1147">
        <v>0</v>
      </c>
      <c r="AQ108" s="1141">
        <v>0</v>
      </c>
      <c r="AR108" s="1147">
        <v>0</v>
      </c>
      <c r="AS108" s="1141">
        <v>0</v>
      </c>
      <c r="AT108" s="1147">
        <v>0</v>
      </c>
      <c r="AU108" s="1141">
        <v>0</v>
      </c>
      <c r="AV108" s="1147">
        <v>0</v>
      </c>
      <c r="AW108" s="1141">
        <v>0</v>
      </c>
      <c r="AX108" s="1147">
        <v>0</v>
      </c>
      <c r="AZ108" s="1139">
        <v>0</v>
      </c>
      <c r="BA108" s="1148">
        <v>0</v>
      </c>
      <c r="BD108" s="42"/>
      <c r="BI108" s="22"/>
      <c r="BJ108" s="58"/>
      <c r="BL108" s="22" t="s">
        <v>310</v>
      </c>
      <c r="BN108" s="44"/>
      <c r="BP108" s="45"/>
      <c r="BQ108" s="46"/>
      <c r="BZ108">
        <v>0</v>
      </c>
      <c r="CA108">
        <v>0</v>
      </c>
      <c r="CB108" t="b">
        <f t="shared" si="11"/>
        <v>1</v>
      </c>
    </row>
    <row r="109" spans="1:80" ht="15" customHeight="1" x14ac:dyDescent="0.25">
      <c r="A109" s="22">
        <v>1972</v>
      </c>
      <c r="B109" s="23" t="s">
        <v>325</v>
      </c>
      <c r="C109" s="22" t="s">
        <v>170</v>
      </c>
      <c r="D109" s="23" t="s">
        <v>300</v>
      </c>
      <c r="E109" s="23" t="s">
        <v>136</v>
      </c>
      <c r="F109" s="22" t="s">
        <v>118</v>
      </c>
      <c r="G109" s="22" t="s">
        <v>118</v>
      </c>
      <c r="H109" s="23" t="s">
        <v>305</v>
      </c>
      <c r="I109" s="24" t="s">
        <v>305</v>
      </c>
      <c r="J109" s="1149">
        <v>0</v>
      </c>
      <c r="K109" s="26" t="s">
        <v>81</v>
      </c>
      <c r="L109" s="27">
        <v>2.25</v>
      </c>
      <c r="M109" s="28">
        <v>6</v>
      </c>
      <c r="N109" s="27">
        <f t="shared" si="8"/>
        <v>13.5</v>
      </c>
      <c r="O109" s="27">
        <f t="shared" si="9"/>
        <v>2.3776335002177555</v>
      </c>
      <c r="P109" s="28">
        <v>4</v>
      </c>
      <c r="Q109" s="28">
        <v>20</v>
      </c>
      <c r="R109" s="29">
        <f t="shared" si="13"/>
        <v>80</v>
      </c>
      <c r="S109" s="30">
        <v>2.5000000000000001E-2</v>
      </c>
      <c r="T109" s="30">
        <v>0</v>
      </c>
      <c r="U109" s="1150"/>
      <c r="V109" s="1151"/>
      <c r="W109" s="1152"/>
      <c r="X109" s="1153"/>
      <c r="Y109" s="1152"/>
      <c r="Z109" s="1153"/>
      <c r="AA109" s="1152"/>
      <c r="AB109" s="1153"/>
      <c r="AC109" s="1152">
        <v>0</v>
      </c>
      <c r="AD109" s="1153">
        <v>0</v>
      </c>
      <c r="AE109" s="1152">
        <v>0</v>
      </c>
      <c r="AF109" s="1153">
        <v>0</v>
      </c>
      <c r="AG109" s="1154"/>
      <c r="AH109" s="1155"/>
      <c r="AI109" s="1152">
        <v>0</v>
      </c>
      <c r="AJ109" s="1153">
        <v>0</v>
      </c>
      <c r="AK109" s="1156">
        <v>0</v>
      </c>
      <c r="AL109" s="1157">
        <v>0</v>
      </c>
      <c r="AM109" s="1152">
        <v>0</v>
      </c>
      <c r="AN109" s="1158">
        <v>0</v>
      </c>
      <c r="AO109" s="1152">
        <v>0</v>
      </c>
      <c r="AP109" s="1158">
        <v>0</v>
      </c>
      <c r="AQ109" s="1152">
        <v>0</v>
      </c>
      <c r="AR109" s="1158">
        <v>0</v>
      </c>
      <c r="AS109" s="1152">
        <v>0</v>
      </c>
      <c r="AT109" s="1158">
        <v>0</v>
      </c>
      <c r="AU109" s="1152">
        <v>0</v>
      </c>
      <c r="AV109" s="1158">
        <v>0</v>
      </c>
      <c r="AW109" s="1152">
        <v>0</v>
      </c>
      <c r="AX109" s="1158">
        <v>0</v>
      </c>
      <c r="AZ109" s="1150">
        <v>0</v>
      </c>
      <c r="BA109" s="1159">
        <v>0</v>
      </c>
      <c r="BD109" s="42"/>
      <c r="BI109" s="22"/>
      <c r="BJ109" s="58"/>
      <c r="BL109" s="22" t="s">
        <v>255</v>
      </c>
      <c r="BN109" s="44"/>
      <c r="BP109" s="45"/>
      <c r="BQ109" s="46"/>
      <c r="BZ109">
        <v>0</v>
      </c>
      <c r="CA109">
        <v>0</v>
      </c>
      <c r="CB109" t="b">
        <f t="shared" si="11"/>
        <v>1</v>
      </c>
    </row>
    <row r="110" spans="1:80" ht="15" customHeight="1" x14ac:dyDescent="0.25">
      <c r="A110" s="22">
        <v>1982</v>
      </c>
      <c r="B110" s="23" t="s">
        <v>326</v>
      </c>
      <c r="C110" s="22" t="s">
        <v>170</v>
      </c>
      <c r="D110" s="23" t="s">
        <v>300</v>
      </c>
      <c r="E110" s="23" t="s">
        <v>136</v>
      </c>
      <c r="F110" s="22" t="s">
        <v>123</v>
      </c>
      <c r="G110" s="22" t="s">
        <v>123</v>
      </c>
      <c r="H110" s="23" t="s">
        <v>313</v>
      </c>
      <c r="I110" s="24" t="s">
        <v>313</v>
      </c>
      <c r="J110" s="1160">
        <v>0</v>
      </c>
      <c r="K110" s="26" t="s">
        <v>81</v>
      </c>
      <c r="L110" s="27">
        <v>3</v>
      </c>
      <c r="M110" s="28">
        <v>6</v>
      </c>
      <c r="N110" s="27">
        <f t="shared" si="8"/>
        <v>18</v>
      </c>
      <c r="O110" s="27">
        <f t="shared" si="9"/>
        <v>3.170178000290341</v>
      </c>
      <c r="P110" s="28">
        <v>4</v>
      </c>
      <c r="Q110" s="28">
        <v>15</v>
      </c>
      <c r="R110" s="29">
        <f t="shared" si="13"/>
        <v>60</v>
      </c>
      <c r="S110" s="30">
        <v>2.5000000000000001E-2</v>
      </c>
      <c r="T110" s="30">
        <v>0</v>
      </c>
      <c r="U110" s="1161"/>
      <c r="V110" s="1162"/>
      <c r="W110" s="1163"/>
      <c r="X110" s="1164"/>
      <c r="Y110" s="1163"/>
      <c r="Z110" s="1164"/>
      <c r="AA110" s="1163"/>
      <c r="AB110" s="1164"/>
      <c r="AC110" s="1163">
        <v>0</v>
      </c>
      <c r="AD110" s="1164">
        <v>0</v>
      </c>
      <c r="AE110" s="1163">
        <v>0</v>
      </c>
      <c r="AF110" s="1164">
        <v>0</v>
      </c>
      <c r="AG110" s="1165"/>
      <c r="AH110" s="1166"/>
      <c r="AI110" s="1163">
        <v>0</v>
      </c>
      <c r="AJ110" s="1164">
        <v>0</v>
      </c>
      <c r="AK110" s="1167">
        <v>0</v>
      </c>
      <c r="AL110" s="1168">
        <v>0</v>
      </c>
      <c r="AM110" s="1163">
        <v>0</v>
      </c>
      <c r="AN110" s="1169">
        <v>0</v>
      </c>
      <c r="AO110" s="1163">
        <v>0</v>
      </c>
      <c r="AP110" s="1169">
        <v>0</v>
      </c>
      <c r="AQ110" s="1163">
        <v>0</v>
      </c>
      <c r="AR110" s="1169">
        <v>0</v>
      </c>
      <c r="AS110" s="1163">
        <v>0</v>
      </c>
      <c r="AT110" s="1169">
        <v>0</v>
      </c>
      <c r="AU110" s="1163">
        <v>0</v>
      </c>
      <c r="AV110" s="1169">
        <v>0</v>
      </c>
      <c r="AW110" s="1163">
        <v>0</v>
      </c>
      <c r="AX110" s="1169">
        <v>0</v>
      </c>
      <c r="AZ110" s="1161">
        <v>0</v>
      </c>
      <c r="BA110" s="1170">
        <v>0</v>
      </c>
      <c r="BD110" s="42"/>
      <c r="BI110" s="22"/>
      <c r="BJ110" s="58"/>
      <c r="BL110" s="22" t="s">
        <v>118</v>
      </c>
      <c r="BN110" s="44"/>
      <c r="BP110" s="45"/>
      <c r="BQ110" s="46"/>
      <c r="BZ110">
        <v>0</v>
      </c>
      <c r="CA110">
        <v>0</v>
      </c>
      <c r="CB110" t="b">
        <f t="shared" si="11"/>
        <v>1</v>
      </c>
    </row>
    <row r="111" spans="1:80" ht="15" customHeight="1" x14ac:dyDescent="0.25">
      <c r="A111" s="22">
        <v>2001</v>
      </c>
      <c r="B111" s="23" t="s">
        <v>240</v>
      </c>
      <c r="C111" s="22" t="s">
        <v>170</v>
      </c>
      <c r="D111" s="23" t="s">
        <v>241</v>
      </c>
      <c r="E111" s="23" t="s">
        <v>241</v>
      </c>
      <c r="F111" s="22" t="s">
        <v>242</v>
      </c>
      <c r="G111" s="22" t="s">
        <v>163</v>
      </c>
      <c r="H111" s="23" t="s">
        <v>242</v>
      </c>
      <c r="I111" s="24" t="s">
        <v>242</v>
      </c>
      <c r="J111" s="1171">
        <v>0</v>
      </c>
      <c r="K111" s="26" t="s">
        <v>94</v>
      </c>
      <c r="L111" s="27">
        <v>0.2</v>
      </c>
      <c r="M111" s="28">
        <v>6</v>
      </c>
      <c r="N111" s="27">
        <f t="shared" si="8"/>
        <v>1.2000000000000002</v>
      </c>
      <c r="O111" s="27">
        <f t="shared" si="9"/>
        <v>0.21134520001935608</v>
      </c>
      <c r="P111" s="28">
        <v>9</v>
      </c>
      <c r="Q111" s="28">
        <v>84</v>
      </c>
      <c r="R111" s="29">
        <f t="shared" si="13"/>
        <v>756</v>
      </c>
      <c r="S111" s="30">
        <v>0.2</v>
      </c>
      <c r="T111" s="30">
        <v>0.15</v>
      </c>
      <c r="U111" s="1172">
        <v>0</v>
      </c>
      <c r="V111" s="1173"/>
      <c r="W111" s="1174">
        <v>0</v>
      </c>
      <c r="X111" s="1175">
        <v>0</v>
      </c>
      <c r="Y111" s="1174">
        <v>0</v>
      </c>
      <c r="Z111" s="1175">
        <v>0</v>
      </c>
      <c r="AA111" s="1174"/>
      <c r="AB111" s="1175">
        <v>0</v>
      </c>
      <c r="AC111" s="1174">
        <v>0</v>
      </c>
      <c r="AD111" s="1175">
        <v>0</v>
      </c>
      <c r="AE111" s="1174">
        <v>0</v>
      </c>
      <c r="AF111" s="1175">
        <v>0</v>
      </c>
      <c r="AG111" s="1176"/>
      <c r="AH111" s="1177"/>
      <c r="AI111" s="1174">
        <v>0</v>
      </c>
      <c r="AJ111" s="1175">
        <v>0</v>
      </c>
      <c r="AK111" s="1178">
        <v>0</v>
      </c>
      <c r="AL111" s="1179">
        <v>0</v>
      </c>
      <c r="AM111" s="1174">
        <v>0</v>
      </c>
      <c r="AN111" s="1180">
        <v>0</v>
      </c>
      <c r="AO111" s="1174">
        <v>0</v>
      </c>
      <c r="AP111" s="1180">
        <v>0</v>
      </c>
      <c r="AQ111" s="1174">
        <v>0</v>
      </c>
      <c r="AR111" s="1180">
        <v>0</v>
      </c>
      <c r="AS111" s="1174">
        <v>0</v>
      </c>
      <c r="AT111" s="1180">
        <v>0</v>
      </c>
      <c r="AU111" s="1174">
        <v>0</v>
      </c>
      <c r="AV111" s="1180">
        <v>0</v>
      </c>
      <c r="AW111" s="1174">
        <v>0</v>
      </c>
      <c r="AX111" s="1180">
        <v>0</v>
      </c>
      <c r="AZ111" s="1172"/>
      <c r="BA111" s="1181"/>
      <c r="BD111" s="42"/>
      <c r="BI111" s="22"/>
      <c r="BJ111" s="58"/>
      <c r="BL111" s="22" t="s">
        <v>255</v>
      </c>
      <c r="BN111" s="44"/>
      <c r="BP111" s="45"/>
      <c r="BQ111" s="46"/>
      <c r="BZ111">
        <v>0</v>
      </c>
      <c r="CA111">
        <v>0</v>
      </c>
      <c r="CB111" t="b">
        <f t="shared" si="11"/>
        <v>1</v>
      </c>
    </row>
    <row r="112" spans="1:80" ht="15" customHeight="1" x14ac:dyDescent="0.25">
      <c r="A112" s="22">
        <v>2003</v>
      </c>
      <c r="B112" s="23" t="s">
        <v>327</v>
      </c>
      <c r="C112" s="22" t="s">
        <v>170</v>
      </c>
      <c r="D112" s="23" t="s">
        <v>241</v>
      </c>
      <c r="E112" s="23" t="s">
        <v>241</v>
      </c>
      <c r="F112" s="22" t="s">
        <v>328</v>
      </c>
      <c r="G112" s="22" t="s">
        <v>290</v>
      </c>
      <c r="H112" s="23" t="s">
        <v>328</v>
      </c>
      <c r="I112" s="24" t="s">
        <v>328</v>
      </c>
      <c r="J112" s="1182">
        <v>0</v>
      </c>
      <c r="K112" s="26" t="s">
        <v>81</v>
      </c>
      <c r="L112" s="27">
        <v>1</v>
      </c>
      <c r="M112" s="28">
        <v>6</v>
      </c>
      <c r="N112" s="27">
        <f t="shared" si="8"/>
        <v>6</v>
      </c>
      <c r="O112" s="27">
        <f t="shared" si="9"/>
        <v>1.0567260000967802</v>
      </c>
      <c r="P112" s="28">
        <v>7</v>
      </c>
      <c r="Q112" s="28">
        <v>20</v>
      </c>
      <c r="R112" s="29">
        <f t="shared" si="13"/>
        <v>140</v>
      </c>
      <c r="S112" s="30">
        <v>0.2</v>
      </c>
      <c r="T112" s="30">
        <v>0</v>
      </c>
      <c r="U112" s="1183">
        <v>929230</v>
      </c>
      <c r="V112" s="1184">
        <v>1.6094420600858369E-3</v>
      </c>
      <c r="W112" s="1185">
        <v>902332</v>
      </c>
      <c r="X112" s="1186">
        <v>0.77618079399141626</v>
      </c>
      <c r="Y112" s="1185">
        <v>0</v>
      </c>
      <c r="Z112" s="1186">
        <v>0</v>
      </c>
      <c r="AA112" s="1185">
        <v>917993</v>
      </c>
      <c r="AB112" s="1186">
        <v>6</v>
      </c>
      <c r="AC112" s="1185">
        <v>940058</v>
      </c>
      <c r="AD112" s="1186">
        <v>6</v>
      </c>
      <c r="AE112" s="1185">
        <v>929272</v>
      </c>
      <c r="AF112" s="1186">
        <v>6</v>
      </c>
      <c r="AG112" s="1187"/>
      <c r="AH112" s="1188"/>
      <c r="AI112" s="1185">
        <v>0</v>
      </c>
      <c r="AJ112" s="1186">
        <v>0</v>
      </c>
      <c r="AK112" s="1189">
        <v>0</v>
      </c>
      <c r="AL112" s="1190">
        <v>0</v>
      </c>
      <c r="AM112" s="1185">
        <v>922605</v>
      </c>
      <c r="AN112" s="1191">
        <v>1.7000000000000001E-2</v>
      </c>
      <c r="AO112" s="1185">
        <v>902311</v>
      </c>
      <c r="AP112" s="1191">
        <v>3.2142E-3</v>
      </c>
      <c r="AQ112" s="1185">
        <v>902302</v>
      </c>
      <c r="AR112" s="1191">
        <v>4.2857142857142858E-2</v>
      </c>
      <c r="AS112" s="1185">
        <f>IF(K112="P",903360,0)</f>
        <v>903360</v>
      </c>
      <c r="AT112" s="1191">
        <f>1/R112</f>
        <v>7.1428571428571426E-3</v>
      </c>
      <c r="AU112" s="1185">
        <v>0</v>
      </c>
      <c r="AV112" s="1191">
        <v>0</v>
      </c>
      <c r="AW112" s="1185">
        <v>0</v>
      </c>
      <c r="AX112" s="1191">
        <v>0</v>
      </c>
      <c r="AZ112" s="1183"/>
      <c r="BA112" s="1192"/>
      <c r="BD112" s="42"/>
      <c r="BI112" s="22"/>
      <c r="BJ112" s="58"/>
      <c r="BL112" s="22" t="s">
        <v>118</v>
      </c>
      <c r="BN112" s="44"/>
      <c r="BP112" s="45"/>
      <c r="BQ112" s="46"/>
      <c r="BZ112">
        <v>929230</v>
      </c>
      <c r="CA112">
        <v>929230</v>
      </c>
      <c r="CB112" t="b">
        <f t="shared" si="11"/>
        <v>1</v>
      </c>
    </row>
    <row r="113" spans="1:80" ht="15" customHeight="1" x14ac:dyDescent="0.25">
      <c r="A113" s="22">
        <v>2004</v>
      </c>
      <c r="B113" s="23" t="s">
        <v>329</v>
      </c>
      <c r="C113" s="22" t="s">
        <v>170</v>
      </c>
      <c r="D113" s="23" t="s">
        <v>241</v>
      </c>
      <c r="E113" s="23" t="s">
        <v>241</v>
      </c>
      <c r="F113" s="22" t="s">
        <v>330</v>
      </c>
      <c r="G113" s="22" t="s">
        <v>293</v>
      </c>
      <c r="H113" s="23" t="s">
        <v>330</v>
      </c>
      <c r="I113" s="24" t="s">
        <v>330</v>
      </c>
      <c r="J113" s="1193">
        <v>0</v>
      </c>
      <c r="K113" s="26" t="s">
        <v>81</v>
      </c>
      <c r="L113" s="27">
        <v>1.5</v>
      </c>
      <c r="M113" s="28">
        <v>4</v>
      </c>
      <c r="N113" s="27">
        <f t="shared" si="8"/>
        <v>6</v>
      </c>
      <c r="O113" s="27">
        <f t="shared" si="9"/>
        <v>1.0567260000967802</v>
      </c>
      <c r="P113" s="28">
        <v>4</v>
      </c>
      <c r="Q113" s="28">
        <v>30</v>
      </c>
      <c r="R113" s="29">
        <f t="shared" si="13"/>
        <v>120</v>
      </c>
      <c r="S113" s="30">
        <v>0.2</v>
      </c>
      <c r="T113" s="30">
        <v>0</v>
      </c>
      <c r="U113" s="1194">
        <v>929230</v>
      </c>
      <c r="V113" s="1195">
        <v>1.6094420600858369E-3</v>
      </c>
      <c r="W113" s="1196">
        <v>902332</v>
      </c>
      <c r="X113" s="1197">
        <v>0.77618079399141626</v>
      </c>
      <c r="Y113" s="1196">
        <v>0</v>
      </c>
      <c r="Z113" s="1197">
        <v>0</v>
      </c>
      <c r="AA113" s="1196">
        <v>917993</v>
      </c>
      <c r="AB113" s="1197">
        <v>4</v>
      </c>
      <c r="AC113" s="1196">
        <v>940060</v>
      </c>
      <c r="AD113" s="1197">
        <v>4</v>
      </c>
      <c r="AE113" s="1196">
        <v>929273</v>
      </c>
      <c r="AF113" s="1197">
        <v>4</v>
      </c>
      <c r="AG113" s="1198"/>
      <c r="AH113" s="1199"/>
      <c r="AI113" s="1196">
        <v>0</v>
      </c>
      <c r="AJ113" s="1197">
        <v>0</v>
      </c>
      <c r="AK113" s="1200">
        <v>0</v>
      </c>
      <c r="AL113" s="1201">
        <v>0</v>
      </c>
      <c r="AM113" s="1196">
        <v>934139</v>
      </c>
      <c r="AN113" s="1202">
        <v>1.7000000000000001E-2</v>
      </c>
      <c r="AO113" s="1196">
        <v>902311</v>
      </c>
      <c r="AP113" s="1202">
        <v>2.9166000000000001E-3</v>
      </c>
      <c r="AQ113" s="1196">
        <v>902302</v>
      </c>
      <c r="AR113" s="1202">
        <v>2.5000000000000001E-2</v>
      </c>
      <c r="AS113" s="1196">
        <f>IF(K113="P",903360,0)</f>
        <v>903360</v>
      </c>
      <c r="AT113" s="1202">
        <f>1/R113</f>
        <v>8.3333333333333332E-3</v>
      </c>
      <c r="AU113" s="1196">
        <v>0</v>
      </c>
      <c r="AV113" s="1202">
        <v>0</v>
      </c>
      <c r="AW113" s="1196">
        <v>0</v>
      </c>
      <c r="AX113" s="1202">
        <v>0</v>
      </c>
      <c r="AZ113" s="1194"/>
      <c r="BA113" s="1203"/>
      <c r="BD113" s="42"/>
      <c r="BI113" s="22"/>
      <c r="BJ113" s="58"/>
      <c r="BL113" s="22" t="s">
        <v>283</v>
      </c>
      <c r="BN113" s="44"/>
      <c r="BP113" s="45"/>
      <c r="BQ113" s="46"/>
      <c r="BZ113">
        <v>929230</v>
      </c>
      <c r="CA113">
        <v>929230</v>
      </c>
      <c r="CB113" t="b">
        <f t="shared" si="11"/>
        <v>1</v>
      </c>
    </row>
    <row r="114" spans="1:80" ht="15" customHeight="1" x14ac:dyDescent="0.25">
      <c r="A114" s="22">
        <v>2013</v>
      </c>
      <c r="B114" s="23" t="s">
        <v>331</v>
      </c>
      <c r="C114" s="22" t="s">
        <v>170</v>
      </c>
      <c r="D114" s="23" t="s">
        <v>241</v>
      </c>
      <c r="E114" s="23" t="s">
        <v>241</v>
      </c>
      <c r="F114" s="22" t="s">
        <v>328</v>
      </c>
      <c r="G114" s="22" t="s">
        <v>290</v>
      </c>
      <c r="H114" s="23" t="s">
        <v>328</v>
      </c>
      <c r="I114" s="24" t="s">
        <v>328</v>
      </c>
      <c r="J114" s="1204">
        <v>0</v>
      </c>
      <c r="K114" s="26" t="s">
        <v>81</v>
      </c>
      <c r="L114" s="27">
        <v>1</v>
      </c>
      <c r="M114" s="28">
        <v>6</v>
      </c>
      <c r="N114" s="27">
        <f t="shared" si="8"/>
        <v>6</v>
      </c>
      <c r="O114" s="27">
        <f t="shared" si="9"/>
        <v>1.0567260000967802</v>
      </c>
      <c r="P114" s="28">
        <v>7</v>
      </c>
      <c r="Q114" s="28">
        <v>20</v>
      </c>
      <c r="R114" s="29">
        <f t="shared" si="13"/>
        <v>140</v>
      </c>
      <c r="S114" s="30">
        <v>0.2</v>
      </c>
      <c r="T114" s="30">
        <v>0</v>
      </c>
      <c r="U114" s="1205">
        <v>936622</v>
      </c>
      <c r="V114" s="1206">
        <v>2.3455824863174357E-3</v>
      </c>
      <c r="W114" s="1207">
        <v>902332</v>
      </c>
      <c r="X114" s="1208">
        <v>0.62202267396403443</v>
      </c>
      <c r="Y114" s="1207">
        <v>0</v>
      </c>
      <c r="Z114" s="1208">
        <v>0</v>
      </c>
      <c r="AA114" s="1207">
        <v>917993</v>
      </c>
      <c r="AB114" s="1208">
        <v>6</v>
      </c>
      <c r="AC114" s="1207">
        <v>930267</v>
      </c>
      <c r="AD114" s="1208">
        <v>6</v>
      </c>
      <c r="AE114" s="1207">
        <v>929272</v>
      </c>
      <c r="AF114" s="1208">
        <v>6</v>
      </c>
      <c r="AG114" s="1209"/>
      <c r="AH114" s="1210"/>
      <c r="AI114" s="1207">
        <v>0</v>
      </c>
      <c r="AJ114" s="1208">
        <v>0</v>
      </c>
      <c r="AK114" s="1211">
        <v>0</v>
      </c>
      <c r="AL114" s="1212">
        <v>0</v>
      </c>
      <c r="AM114" s="1207">
        <v>922605</v>
      </c>
      <c r="AN114" s="1213">
        <v>1.7000000000000001E-2</v>
      </c>
      <c r="AO114" s="1207">
        <v>902311</v>
      </c>
      <c r="AP114" s="1213">
        <v>3.2142E-3</v>
      </c>
      <c r="AQ114" s="1207">
        <v>902302</v>
      </c>
      <c r="AR114" s="1213">
        <v>4.2857142857142858E-2</v>
      </c>
      <c r="AS114" s="1207">
        <f>IF(K114="P",903360,0)</f>
        <v>903360</v>
      </c>
      <c r="AT114" s="1213">
        <f>1/R114</f>
        <v>7.1428571428571426E-3</v>
      </c>
      <c r="AU114" s="1207">
        <v>0</v>
      </c>
      <c r="AV114" s="1213">
        <v>0</v>
      </c>
      <c r="AW114" s="1207">
        <v>0</v>
      </c>
      <c r="AX114" s="1213">
        <v>0</v>
      </c>
      <c r="AZ114" s="1205"/>
      <c r="BA114" s="1214"/>
      <c r="BD114" s="42"/>
      <c r="BI114" s="22"/>
      <c r="BJ114" s="58"/>
      <c r="BL114" s="22" t="s">
        <v>283</v>
      </c>
      <c r="BN114" s="44"/>
      <c r="BP114" s="45"/>
      <c r="BQ114" s="46"/>
      <c r="BZ114">
        <v>936622</v>
      </c>
      <c r="CA114">
        <v>929232</v>
      </c>
      <c r="CB114" t="b">
        <f t="shared" si="11"/>
        <v>0</v>
      </c>
    </row>
    <row r="115" spans="1:80" ht="15" customHeight="1" x14ac:dyDescent="0.25">
      <c r="A115" s="22">
        <v>2014</v>
      </c>
      <c r="B115" s="23" t="s">
        <v>332</v>
      </c>
      <c r="C115" s="22" t="s">
        <v>170</v>
      </c>
      <c r="D115" s="23" t="s">
        <v>241</v>
      </c>
      <c r="E115" s="23" t="s">
        <v>241</v>
      </c>
      <c r="F115" s="22" t="s">
        <v>330</v>
      </c>
      <c r="G115" s="22" t="s">
        <v>293</v>
      </c>
      <c r="H115" s="23" t="s">
        <v>330</v>
      </c>
      <c r="I115" s="24" t="s">
        <v>330</v>
      </c>
      <c r="J115" s="1215">
        <v>0</v>
      </c>
      <c r="K115" s="26" t="s">
        <v>81</v>
      </c>
      <c r="L115" s="27">
        <v>1.5</v>
      </c>
      <c r="M115" s="28">
        <v>4</v>
      </c>
      <c r="N115" s="27">
        <f t="shared" si="8"/>
        <v>6</v>
      </c>
      <c r="O115" s="27">
        <f t="shared" si="9"/>
        <v>1.0567260000967802</v>
      </c>
      <c r="P115" s="28">
        <v>4</v>
      </c>
      <c r="Q115" s="28">
        <v>30</v>
      </c>
      <c r="R115" s="29">
        <f t="shared" si="13"/>
        <v>120</v>
      </c>
      <c r="S115" s="30">
        <v>0.2</v>
      </c>
      <c r="T115" s="30">
        <v>0</v>
      </c>
      <c r="U115" s="1216">
        <v>936622</v>
      </c>
      <c r="V115" s="1217">
        <v>2.3455824863174357E-3</v>
      </c>
      <c r="W115" s="1218">
        <v>902332</v>
      </c>
      <c r="X115" s="1219">
        <v>0.62202267396403443</v>
      </c>
      <c r="Y115" s="1218">
        <v>0</v>
      </c>
      <c r="Z115" s="1219">
        <v>0</v>
      </c>
      <c r="AA115" s="1218">
        <v>917993</v>
      </c>
      <c r="AB115" s="1219">
        <v>4</v>
      </c>
      <c r="AC115" s="1218">
        <v>929255</v>
      </c>
      <c r="AD115" s="1219">
        <v>4</v>
      </c>
      <c r="AE115" s="1218">
        <v>929273</v>
      </c>
      <c r="AF115" s="1219">
        <v>4</v>
      </c>
      <c r="AG115" s="1220"/>
      <c r="AH115" s="1221"/>
      <c r="AI115" s="1218">
        <v>0</v>
      </c>
      <c r="AJ115" s="1219">
        <v>0</v>
      </c>
      <c r="AK115" s="1222">
        <v>0</v>
      </c>
      <c r="AL115" s="1223">
        <v>0</v>
      </c>
      <c r="AM115" s="1218">
        <v>934139</v>
      </c>
      <c r="AN115" s="1224">
        <v>1.7000000000000001E-2</v>
      </c>
      <c r="AO115" s="1218">
        <v>902311</v>
      </c>
      <c r="AP115" s="1224">
        <v>2.9166000000000001E-3</v>
      </c>
      <c r="AQ115" s="1218">
        <v>902302</v>
      </c>
      <c r="AR115" s="1224">
        <v>2.5000000000000001E-2</v>
      </c>
      <c r="AS115" s="1218">
        <f>IF(K115="P",903360,0)</f>
        <v>903360</v>
      </c>
      <c r="AT115" s="1224">
        <f>1/R115</f>
        <v>8.3333333333333332E-3</v>
      </c>
      <c r="AU115" s="1218">
        <v>0</v>
      </c>
      <c r="AV115" s="1224">
        <v>0</v>
      </c>
      <c r="AW115" s="1218">
        <v>0</v>
      </c>
      <c r="AX115" s="1224">
        <v>0</v>
      </c>
      <c r="AZ115" s="1216"/>
      <c r="BA115" s="1225"/>
      <c r="BD115" s="42"/>
      <c r="BI115" s="22"/>
      <c r="BJ115" s="58"/>
      <c r="BL115" s="22" t="s">
        <v>333</v>
      </c>
      <c r="BN115" s="44"/>
      <c r="BP115" s="45"/>
      <c r="BQ115" s="46"/>
      <c r="BZ115">
        <v>936622</v>
      </c>
      <c r="CA115">
        <v>929232</v>
      </c>
      <c r="CB115" t="b">
        <f t="shared" si="11"/>
        <v>0</v>
      </c>
    </row>
    <row r="116" spans="1:80" ht="15" customHeight="1" x14ac:dyDescent="0.25">
      <c r="A116" s="22">
        <v>2021</v>
      </c>
      <c r="B116" s="23" t="s">
        <v>334</v>
      </c>
      <c r="C116" s="22" t="s">
        <v>170</v>
      </c>
      <c r="D116" s="23" t="s">
        <v>241</v>
      </c>
      <c r="E116" s="23" t="s">
        <v>241</v>
      </c>
      <c r="F116" s="22" t="s">
        <v>242</v>
      </c>
      <c r="G116" s="22" t="s">
        <v>163</v>
      </c>
      <c r="H116" s="23" t="s">
        <v>242</v>
      </c>
      <c r="I116" s="24" t="s">
        <v>242</v>
      </c>
      <c r="J116" s="1226">
        <v>0</v>
      </c>
      <c r="K116" s="26" t="s">
        <v>94</v>
      </c>
      <c r="L116" s="27">
        <v>0.2</v>
      </c>
      <c r="M116" s="28">
        <v>6</v>
      </c>
      <c r="N116" s="27">
        <f t="shared" si="8"/>
        <v>1.2000000000000002</v>
      </c>
      <c r="O116" s="27">
        <f t="shared" si="9"/>
        <v>0.21134520001935608</v>
      </c>
      <c r="P116" s="28">
        <v>9</v>
      </c>
      <c r="Q116" s="28">
        <v>84</v>
      </c>
      <c r="R116" s="29">
        <v>756</v>
      </c>
      <c r="S116" s="30">
        <v>0.2</v>
      </c>
      <c r="T116" s="30">
        <v>0.15</v>
      </c>
      <c r="U116" s="1227">
        <v>0</v>
      </c>
      <c r="V116" s="1228">
        <v>0</v>
      </c>
      <c r="W116" s="1229">
        <v>0</v>
      </c>
      <c r="X116" s="1230">
        <v>0</v>
      </c>
      <c r="Y116" s="1229">
        <v>0</v>
      </c>
      <c r="Z116" s="1230">
        <v>0</v>
      </c>
      <c r="AA116" s="1229"/>
      <c r="AB116" s="1230">
        <v>0</v>
      </c>
      <c r="AC116" s="1229">
        <v>0</v>
      </c>
      <c r="AD116" s="1230">
        <v>0</v>
      </c>
      <c r="AE116" s="1229">
        <v>0</v>
      </c>
      <c r="AF116" s="1230">
        <v>0</v>
      </c>
      <c r="AG116" s="1231"/>
      <c r="AH116" s="1232"/>
      <c r="AI116" s="1229">
        <v>0</v>
      </c>
      <c r="AJ116" s="1230">
        <v>0</v>
      </c>
      <c r="AK116" s="1233">
        <v>0</v>
      </c>
      <c r="AL116" s="1234">
        <v>0</v>
      </c>
      <c r="AM116" s="1229">
        <v>0</v>
      </c>
      <c r="AN116" s="1235">
        <v>0</v>
      </c>
      <c r="AO116" s="1229">
        <v>0</v>
      </c>
      <c r="AP116" s="1235">
        <v>0</v>
      </c>
      <c r="AQ116" s="1229">
        <v>0</v>
      </c>
      <c r="AR116" s="1235">
        <v>0</v>
      </c>
      <c r="AS116" s="1229">
        <v>0</v>
      </c>
      <c r="AT116" s="1235">
        <v>0</v>
      </c>
      <c r="AU116" s="1229">
        <v>0</v>
      </c>
      <c r="AV116" s="1235">
        <v>0</v>
      </c>
      <c r="AW116" s="1229">
        <v>0</v>
      </c>
      <c r="AX116" s="1235">
        <v>0</v>
      </c>
      <c r="AZ116" s="1227"/>
      <c r="BA116" s="1236"/>
      <c r="BD116" s="42"/>
      <c r="BI116" s="22"/>
      <c r="BJ116" s="58"/>
      <c r="BL116" s="22" t="s">
        <v>118</v>
      </c>
      <c r="BN116" s="44"/>
      <c r="BP116" s="45"/>
      <c r="BQ116" s="46"/>
      <c r="BZ116">
        <v>0</v>
      </c>
      <c r="CA116">
        <v>0</v>
      </c>
      <c r="CB116" t="b">
        <f t="shared" si="11"/>
        <v>1</v>
      </c>
    </row>
    <row r="117" spans="1:80" ht="15" customHeight="1" x14ac:dyDescent="0.25">
      <c r="A117" s="22">
        <v>2031</v>
      </c>
      <c r="B117" s="23" t="s">
        <v>335</v>
      </c>
      <c r="C117" s="22" t="s">
        <v>170</v>
      </c>
      <c r="D117" s="23" t="s">
        <v>241</v>
      </c>
      <c r="E117" s="23" t="s">
        <v>241</v>
      </c>
      <c r="F117" s="22" t="s">
        <v>242</v>
      </c>
      <c r="G117" s="22" t="s">
        <v>163</v>
      </c>
      <c r="H117" s="23" t="s">
        <v>242</v>
      </c>
      <c r="I117" s="24" t="s">
        <v>242</v>
      </c>
      <c r="J117" s="1237">
        <v>0</v>
      </c>
      <c r="K117" s="26" t="s">
        <v>94</v>
      </c>
      <c r="L117" s="27">
        <v>0.2</v>
      </c>
      <c r="M117" s="28">
        <v>6</v>
      </c>
      <c r="N117" s="27">
        <f t="shared" si="8"/>
        <v>1.2000000000000002</v>
      </c>
      <c r="O117" s="27">
        <f t="shared" si="9"/>
        <v>0.21134520001935608</v>
      </c>
      <c r="P117" s="28">
        <v>9</v>
      </c>
      <c r="Q117" s="28">
        <v>84</v>
      </c>
      <c r="R117" s="29">
        <f t="shared" ref="R117:R180" si="14">P117*Q117</f>
        <v>756</v>
      </c>
      <c r="S117" s="30">
        <v>0.2</v>
      </c>
      <c r="T117" s="30">
        <v>0.15</v>
      </c>
      <c r="U117" s="1238">
        <v>0</v>
      </c>
      <c r="V117" s="1239">
        <v>0</v>
      </c>
      <c r="W117" s="1240">
        <v>0</v>
      </c>
      <c r="X117" s="1241">
        <v>0</v>
      </c>
      <c r="Y117" s="1240">
        <v>0</v>
      </c>
      <c r="Z117" s="1241">
        <v>0</v>
      </c>
      <c r="AA117" s="1240"/>
      <c r="AB117" s="1241">
        <v>0</v>
      </c>
      <c r="AC117" s="1240">
        <v>0</v>
      </c>
      <c r="AD117" s="1241">
        <v>0</v>
      </c>
      <c r="AE117" s="1240">
        <v>0</v>
      </c>
      <c r="AF117" s="1241">
        <v>0</v>
      </c>
      <c r="AG117" s="1242"/>
      <c r="AH117" s="1243"/>
      <c r="AI117" s="1240">
        <v>0</v>
      </c>
      <c r="AJ117" s="1241">
        <v>0</v>
      </c>
      <c r="AK117" s="1244">
        <v>0</v>
      </c>
      <c r="AL117" s="1245">
        <v>0</v>
      </c>
      <c r="AM117" s="1240">
        <v>0</v>
      </c>
      <c r="AN117" s="1246">
        <v>0</v>
      </c>
      <c r="AO117" s="1240">
        <v>0</v>
      </c>
      <c r="AP117" s="1246">
        <v>0</v>
      </c>
      <c r="AQ117" s="1240">
        <v>0</v>
      </c>
      <c r="AR117" s="1246">
        <v>0</v>
      </c>
      <c r="AS117" s="1240">
        <v>0</v>
      </c>
      <c r="AT117" s="1246">
        <v>0</v>
      </c>
      <c r="AU117" s="1240">
        <v>0</v>
      </c>
      <c r="AV117" s="1246">
        <v>0</v>
      </c>
      <c r="AW117" s="1240">
        <v>0</v>
      </c>
      <c r="AX117" s="1246">
        <v>0</v>
      </c>
      <c r="AZ117" s="1238"/>
      <c r="BA117" s="1247"/>
      <c r="BD117" s="42"/>
      <c r="BI117" s="22"/>
      <c r="BJ117" s="58"/>
      <c r="BL117" s="22" t="s">
        <v>283</v>
      </c>
      <c r="BN117" s="44"/>
      <c r="BP117" s="45"/>
      <c r="BQ117" s="46"/>
      <c r="BZ117">
        <v>0</v>
      </c>
      <c r="CA117">
        <v>0</v>
      </c>
      <c r="CB117" t="b">
        <f t="shared" si="11"/>
        <v>1</v>
      </c>
    </row>
    <row r="118" spans="1:80" ht="15" customHeight="1" x14ac:dyDescent="0.25">
      <c r="A118" s="22">
        <v>2033</v>
      </c>
      <c r="B118" s="23" t="s">
        <v>336</v>
      </c>
      <c r="C118" s="22" t="s">
        <v>170</v>
      </c>
      <c r="D118" s="23" t="s">
        <v>241</v>
      </c>
      <c r="E118" s="23" t="s">
        <v>241</v>
      </c>
      <c r="F118" s="22" t="s">
        <v>328</v>
      </c>
      <c r="G118" s="22" t="s">
        <v>290</v>
      </c>
      <c r="H118" s="23" t="s">
        <v>328</v>
      </c>
      <c r="I118" s="24" t="s">
        <v>328</v>
      </c>
      <c r="J118" s="1248">
        <v>0</v>
      </c>
      <c r="K118" s="26" t="s">
        <v>81</v>
      </c>
      <c r="L118" s="27">
        <v>1</v>
      </c>
      <c r="M118" s="28">
        <v>6</v>
      </c>
      <c r="N118" s="27">
        <f t="shared" si="8"/>
        <v>6</v>
      </c>
      <c r="O118" s="27">
        <f t="shared" si="9"/>
        <v>1.0567260000967802</v>
      </c>
      <c r="P118" s="28">
        <v>7</v>
      </c>
      <c r="Q118" s="28">
        <v>20</v>
      </c>
      <c r="R118" s="29">
        <f t="shared" si="14"/>
        <v>140</v>
      </c>
      <c r="S118" s="30">
        <v>0.2</v>
      </c>
      <c r="T118" s="30">
        <v>0</v>
      </c>
      <c r="U118" s="1249">
        <v>929439</v>
      </c>
      <c r="V118" s="1250">
        <v>2.6121027427078798E-3</v>
      </c>
      <c r="W118" s="1251">
        <v>902332</v>
      </c>
      <c r="X118" s="1252">
        <v>0.6402817588158467</v>
      </c>
      <c r="Y118" s="1251">
        <v>0</v>
      </c>
      <c r="Z118" s="1252">
        <v>0</v>
      </c>
      <c r="AA118" s="1251">
        <v>917993</v>
      </c>
      <c r="AB118" s="1252">
        <v>6</v>
      </c>
      <c r="AC118" s="1251">
        <v>930266</v>
      </c>
      <c r="AD118" s="1252">
        <v>6</v>
      </c>
      <c r="AE118" s="1251">
        <v>929272</v>
      </c>
      <c r="AF118" s="1252">
        <v>6</v>
      </c>
      <c r="AG118" s="1253"/>
      <c r="AH118" s="1254"/>
      <c r="AI118" s="1251">
        <v>0</v>
      </c>
      <c r="AJ118" s="1252">
        <v>0</v>
      </c>
      <c r="AK118" s="1255">
        <v>0</v>
      </c>
      <c r="AL118" s="1256">
        <v>0</v>
      </c>
      <c r="AM118" s="1251">
        <v>922605</v>
      </c>
      <c r="AN118" s="1257">
        <v>1.7000000000000001E-2</v>
      </c>
      <c r="AO118" s="1251">
        <v>902311</v>
      </c>
      <c r="AP118" s="1257">
        <v>3.2142E-3</v>
      </c>
      <c r="AQ118" s="1251">
        <v>902302</v>
      </c>
      <c r="AR118" s="1257">
        <v>4.2857142857142858E-2</v>
      </c>
      <c r="AS118" s="1251">
        <f>IF(K118="P",903360,0)</f>
        <v>903360</v>
      </c>
      <c r="AT118" s="1257">
        <f>1/R118</f>
        <v>7.1428571428571426E-3</v>
      </c>
      <c r="AU118" s="1251">
        <v>0</v>
      </c>
      <c r="AV118" s="1257">
        <v>0</v>
      </c>
      <c r="AW118" s="1251">
        <v>0</v>
      </c>
      <c r="AX118" s="1257">
        <v>0</v>
      </c>
      <c r="AZ118" s="1249"/>
      <c r="BA118" s="1258"/>
      <c r="BD118" s="42"/>
      <c r="BI118" s="22"/>
      <c r="BJ118" s="58"/>
      <c r="BL118" s="22" t="s">
        <v>283</v>
      </c>
      <c r="BN118" s="44"/>
      <c r="BP118" s="45"/>
      <c r="BQ118" s="46"/>
      <c r="BZ118">
        <v>929439</v>
      </c>
      <c r="CA118">
        <v>929439</v>
      </c>
      <c r="CB118" t="b">
        <f t="shared" si="11"/>
        <v>1</v>
      </c>
    </row>
    <row r="119" spans="1:80" ht="15" customHeight="1" x14ac:dyDescent="0.25">
      <c r="A119" s="22">
        <v>2103</v>
      </c>
      <c r="B119" s="23" t="s">
        <v>337</v>
      </c>
      <c r="C119" s="22" t="s">
        <v>170</v>
      </c>
      <c r="D119" s="23" t="s">
        <v>241</v>
      </c>
      <c r="E119" s="23" t="s">
        <v>241</v>
      </c>
      <c r="F119" s="22" t="s">
        <v>328</v>
      </c>
      <c r="G119" s="22" t="s">
        <v>290</v>
      </c>
      <c r="H119" s="23" t="s">
        <v>328</v>
      </c>
      <c r="I119" s="24" t="s">
        <v>328</v>
      </c>
      <c r="J119" s="1259">
        <v>4.1666670000000003E-2</v>
      </c>
      <c r="K119" s="26" t="s">
        <v>81</v>
      </c>
      <c r="L119" s="27">
        <v>1</v>
      </c>
      <c r="M119" s="28">
        <v>6</v>
      </c>
      <c r="N119" s="27">
        <f t="shared" si="8"/>
        <v>6</v>
      </c>
      <c r="O119" s="27">
        <f t="shared" si="9"/>
        <v>1.0567260000967802</v>
      </c>
      <c r="P119" s="28">
        <v>7</v>
      </c>
      <c r="Q119" s="28">
        <v>20</v>
      </c>
      <c r="R119" s="29">
        <f t="shared" si="14"/>
        <v>140</v>
      </c>
      <c r="S119" s="30">
        <v>0.2</v>
      </c>
      <c r="T119" s="30">
        <v>0.15</v>
      </c>
      <c r="U119" s="1260">
        <v>932505</v>
      </c>
      <c r="V119" s="1261">
        <v>1.9946808510638296E-3</v>
      </c>
      <c r="W119" s="1262">
        <v>0</v>
      </c>
      <c r="X119" s="1263">
        <v>0</v>
      </c>
      <c r="Y119" s="1262">
        <v>0</v>
      </c>
      <c r="Z119" s="1263">
        <v>0</v>
      </c>
      <c r="AA119" s="1262">
        <v>917993</v>
      </c>
      <c r="AB119" s="1263">
        <v>6</v>
      </c>
      <c r="AC119" s="1262">
        <v>932381</v>
      </c>
      <c r="AD119" s="1263">
        <v>6</v>
      </c>
      <c r="AE119" s="1262">
        <v>929272</v>
      </c>
      <c r="AF119" s="1263">
        <v>6</v>
      </c>
      <c r="AG119" s="1264"/>
      <c r="AH119" s="1265"/>
      <c r="AI119" s="1262">
        <v>0</v>
      </c>
      <c r="AJ119" s="1263">
        <v>0</v>
      </c>
      <c r="AK119" s="1266">
        <v>0</v>
      </c>
      <c r="AL119" s="1267">
        <v>0</v>
      </c>
      <c r="AM119" s="1262">
        <v>922605</v>
      </c>
      <c r="AN119" s="1268">
        <v>1.7000000000000001E-2</v>
      </c>
      <c r="AO119" s="1262">
        <v>902311</v>
      </c>
      <c r="AP119" s="1268">
        <v>3.2142E-3</v>
      </c>
      <c r="AQ119" s="1262">
        <v>902302</v>
      </c>
      <c r="AR119" s="1268">
        <v>4.2857142857142858E-2</v>
      </c>
      <c r="AS119" s="1262">
        <f>IF(K119="P",903360,0)</f>
        <v>903360</v>
      </c>
      <c r="AT119" s="1268">
        <f>1/R119</f>
        <v>7.1428571428571426E-3</v>
      </c>
      <c r="AU119" s="1262">
        <v>0</v>
      </c>
      <c r="AV119" s="1268">
        <v>0</v>
      </c>
      <c r="AW119" s="1262">
        <v>0</v>
      </c>
      <c r="AX119" s="1268">
        <v>0</v>
      </c>
      <c r="AZ119" s="1260"/>
      <c r="BA119" s="1269"/>
      <c r="BD119" s="42"/>
      <c r="BI119" s="22"/>
      <c r="BJ119" s="58"/>
      <c r="BL119" s="22" t="s">
        <v>283</v>
      </c>
      <c r="BN119" s="44"/>
      <c r="BP119" s="45"/>
      <c r="BQ119" s="46"/>
      <c r="BZ119">
        <v>932505</v>
      </c>
      <c r="CA119">
        <v>932505</v>
      </c>
      <c r="CB119" t="b">
        <f t="shared" si="11"/>
        <v>1</v>
      </c>
    </row>
    <row r="120" spans="1:80" ht="15" customHeight="1" x14ac:dyDescent="0.25">
      <c r="A120" s="22">
        <v>2104</v>
      </c>
      <c r="B120" s="23" t="s">
        <v>338</v>
      </c>
      <c r="C120" s="22" t="s">
        <v>170</v>
      </c>
      <c r="D120" s="23" t="s">
        <v>241</v>
      </c>
      <c r="E120" s="23" t="s">
        <v>339</v>
      </c>
      <c r="F120" s="22" t="s">
        <v>255</v>
      </c>
      <c r="G120" s="22" t="s">
        <v>255</v>
      </c>
      <c r="H120" s="23" t="s">
        <v>340</v>
      </c>
      <c r="I120" s="24" t="s">
        <v>341</v>
      </c>
      <c r="J120" s="1270">
        <v>0</v>
      </c>
      <c r="K120" s="26" t="s">
        <v>81</v>
      </c>
      <c r="L120" s="27">
        <v>1.5</v>
      </c>
      <c r="M120" s="28">
        <v>6</v>
      </c>
      <c r="N120" s="27">
        <f t="shared" si="8"/>
        <v>9</v>
      </c>
      <c r="O120" s="27">
        <f t="shared" si="9"/>
        <v>1.5850890001451705</v>
      </c>
      <c r="P120" s="28">
        <v>4</v>
      </c>
      <c r="Q120" s="28">
        <v>28</v>
      </c>
      <c r="R120" s="29">
        <f t="shared" si="14"/>
        <v>112</v>
      </c>
      <c r="S120" s="30">
        <v>0.17</v>
      </c>
      <c r="T120" s="30">
        <v>0.15</v>
      </c>
      <c r="U120" s="1271">
        <v>938058</v>
      </c>
      <c r="V120" s="1272">
        <v>4.4226044226044221E-3</v>
      </c>
      <c r="W120" s="1273">
        <v>902332</v>
      </c>
      <c r="X120" s="1274">
        <v>0</v>
      </c>
      <c r="Y120" s="1273"/>
      <c r="Z120" s="1274">
        <v>0</v>
      </c>
      <c r="AA120" s="1273">
        <v>901781</v>
      </c>
      <c r="AB120" s="1274">
        <v>6</v>
      </c>
      <c r="AC120" s="1273">
        <v>928578</v>
      </c>
      <c r="AD120" s="1274">
        <v>6</v>
      </c>
      <c r="AE120" s="1273">
        <v>933429</v>
      </c>
      <c r="AF120" s="1274">
        <v>6</v>
      </c>
      <c r="AG120" s="1275"/>
      <c r="AH120" s="1276"/>
      <c r="AI120" s="1273">
        <v>0</v>
      </c>
      <c r="AJ120" s="1274">
        <v>0</v>
      </c>
      <c r="AK120" s="1277">
        <v>0</v>
      </c>
      <c r="AL120" s="1278">
        <v>0</v>
      </c>
      <c r="AM120" s="1273">
        <v>932317</v>
      </c>
      <c r="AN120" s="1279">
        <v>0.02</v>
      </c>
      <c r="AO120" s="1273">
        <v>902311</v>
      </c>
      <c r="AP120" s="1279">
        <v>2.7777777777777779E-3</v>
      </c>
      <c r="AQ120" s="1273">
        <v>933089</v>
      </c>
      <c r="AR120" s="1279">
        <v>2.6785714285714284E-2</v>
      </c>
      <c r="AS120" s="1273">
        <v>903360</v>
      </c>
      <c r="AT120" s="1279">
        <v>8.9285714285714281E-3</v>
      </c>
      <c r="AU120" s="1273">
        <v>0</v>
      </c>
      <c r="AV120" s="1279">
        <v>0</v>
      </c>
      <c r="AW120" s="1273">
        <v>0</v>
      </c>
      <c r="AX120" s="1279">
        <v>0</v>
      </c>
      <c r="AZ120" s="1271"/>
      <c r="BA120" s="1280"/>
      <c r="BD120" s="42"/>
      <c r="BI120" s="22"/>
      <c r="BJ120" s="58"/>
      <c r="BL120" s="22" t="s">
        <v>333</v>
      </c>
      <c r="BN120" s="44"/>
      <c r="BP120" s="45"/>
      <c r="BQ120" s="46"/>
      <c r="BZ120">
        <v>938058</v>
      </c>
      <c r="CA120">
        <v>938058</v>
      </c>
      <c r="CB120" t="b">
        <f t="shared" si="11"/>
        <v>1</v>
      </c>
    </row>
    <row r="121" spans="1:80" ht="15" customHeight="1" x14ac:dyDescent="0.25">
      <c r="A121" s="22">
        <v>2154</v>
      </c>
      <c r="B121" s="23" t="s">
        <v>342</v>
      </c>
      <c r="C121" s="22" t="s">
        <v>170</v>
      </c>
      <c r="D121" s="23" t="s">
        <v>241</v>
      </c>
      <c r="E121" s="23" t="s">
        <v>339</v>
      </c>
      <c r="F121" s="22" t="s">
        <v>255</v>
      </c>
      <c r="G121" s="22" t="s">
        <v>255</v>
      </c>
      <c r="H121" s="23" t="s">
        <v>340</v>
      </c>
      <c r="I121" s="24" t="s">
        <v>341</v>
      </c>
      <c r="J121" s="1281">
        <v>0</v>
      </c>
      <c r="K121" s="26" t="s">
        <v>81</v>
      </c>
      <c r="L121" s="27">
        <v>1.5</v>
      </c>
      <c r="M121" s="28">
        <v>6</v>
      </c>
      <c r="N121" s="27">
        <f t="shared" si="8"/>
        <v>9</v>
      </c>
      <c r="O121" s="27">
        <f t="shared" si="9"/>
        <v>1.5850890001451705</v>
      </c>
      <c r="P121" s="28">
        <v>4</v>
      </c>
      <c r="Q121" s="28">
        <v>28</v>
      </c>
      <c r="R121" s="29">
        <f t="shared" si="14"/>
        <v>112</v>
      </c>
      <c r="S121" s="30">
        <v>0.17</v>
      </c>
      <c r="T121" s="30">
        <v>0.15</v>
      </c>
      <c r="U121" s="1282">
        <v>938059</v>
      </c>
      <c r="V121" s="1283">
        <v>3.8054968287526423E-3</v>
      </c>
      <c r="W121" s="1284">
        <v>902332</v>
      </c>
      <c r="X121" s="1285">
        <v>0</v>
      </c>
      <c r="Y121" s="1284"/>
      <c r="Z121" s="1285">
        <v>0</v>
      </c>
      <c r="AA121" s="1284">
        <v>901781</v>
      </c>
      <c r="AB121" s="1285">
        <v>6</v>
      </c>
      <c r="AC121" s="1284">
        <v>928579</v>
      </c>
      <c r="AD121" s="1285">
        <v>6</v>
      </c>
      <c r="AE121" s="1284">
        <v>933429</v>
      </c>
      <c r="AF121" s="1285">
        <v>6</v>
      </c>
      <c r="AG121" s="1286"/>
      <c r="AH121" s="1287"/>
      <c r="AI121" s="1284">
        <v>0</v>
      </c>
      <c r="AJ121" s="1285">
        <v>0</v>
      </c>
      <c r="AK121" s="1288">
        <v>0</v>
      </c>
      <c r="AL121" s="1289">
        <v>0</v>
      </c>
      <c r="AM121" s="1284">
        <v>932317</v>
      </c>
      <c r="AN121" s="1290">
        <v>2.1999999999999999E-2</v>
      </c>
      <c r="AO121" s="1284">
        <v>902311</v>
      </c>
      <c r="AP121" s="1290">
        <v>4.1666666666666666E-3</v>
      </c>
      <c r="AQ121" s="1284">
        <v>933089</v>
      </c>
      <c r="AR121" s="1290">
        <v>2.6785714285714284E-2</v>
      </c>
      <c r="AS121" s="1284">
        <v>903360</v>
      </c>
      <c r="AT121" s="1290">
        <v>8.9285714285714281E-3</v>
      </c>
      <c r="AU121" s="1284">
        <v>0</v>
      </c>
      <c r="AV121" s="1290">
        <v>0</v>
      </c>
      <c r="AW121" s="1284">
        <v>0</v>
      </c>
      <c r="AX121" s="1290">
        <v>0</v>
      </c>
      <c r="AZ121" s="1282"/>
      <c r="BA121" s="1291"/>
      <c r="BD121" s="42"/>
      <c r="BI121" s="22"/>
      <c r="BJ121" s="58"/>
      <c r="BL121" s="22" t="s">
        <v>86</v>
      </c>
      <c r="BN121" s="44"/>
      <c r="BP121" s="45"/>
      <c r="BQ121" s="46"/>
      <c r="BZ121">
        <v>938059</v>
      </c>
      <c r="CA121">
        <v>938059</v>
      </c>
      <c r="CB121" t="b">
        <f t="shared" si="11"/>
        <v>1</v>
      </c>
    </row>
    <row r="122" spans="1:80" ht="15" customHeight="1" x14ac:dyDescent="0.25">
      <c r="A122" s="22">
        <v>2218</v>
      </c>
      <c r="B122" s="23" t="s">
        <v>343</v>
      </c>
      <c r="C122" s="22" t="s">
        <v>76</v>
      </c>
      <c r="D122" s="23" t="s">
        <v>273</v>
      </c>
      <c r="E122" s="23" t="s">
        <v>277</v>
      </c>
      <c r="F122" s="22" t="s">
        <v>91</v>
      </c>
      <c r="G122" s="22" t="s">
        <v>91</v>
      </c>
      <c r="H122" s="23" t="s">
        <v>93</v>
      </c>
      <c r="I122" s="24" t="s">
        <v>93</v>
      </c>
      <c r="J122" s="1292">
        <v>8.6956519999999995E-2</v>
      </c>
      <c r="K122" s="26" t="s">
        <v>94</v>
      </c>
      <c r="L122" s="27">
        <v>0.35399999999999998</v>
      </c>
      <c r="M122" s="28">
        <v>6</v>
      </c>
      <c r="N122" s="27">
        <f t="shared" si="8"/>
        <v>2.1239999999999997</v>
      </c>
      <c r="O122" s="27">
        <f t="shared" si="9"/>
        <v>0.37408100403426015</v>
      </c>
      <c r="P122" s="28">
        <v>11</v>
      </c>
      <c r="Q122" s="28">
        <v>45</v>
      </c>
      <c r="R122" s="29">
        <f t="shared" si="14"/>
        <v>495</v>
      </c>
      <c r="S122" s="30">
        <v>0.23499999999999999</v>
      </c>
      <c r="T122" s="30">
        <v>0.05</v>
      </c>
      <c r="U122" s="1293">
        <v>0</v>
      </c>
      <c r="V122" s="1294">
        <v>0</v>
      </c>
      <c r="W122" s="1295">
        <v>0</v>
      </c>
      <c r="X122" s="1296">
        <v>0</v>
      </c>
      <c r="Y122" s="1295">
        <v>0</v>
      </c>
      <c r="Z122" s="1296">
        <v>0</v>
      </c>
      <c r="AA122" s="1295"/>
      <c r="AB122" s="1296">
        <v>0</v>
      </c>
      <c r="AC122" s="1295">
        <v>0</v>
      </c>
      <c r="AD122" s="1296">
        <v>0</v>
      </c>
      <c r="AE122" s="1295">
        <v>0</v>
      </c>
      <c r="AF122" s="1296">
        <v>0</v>
      </c>
      <c r="AG122" s="1297"/>
      <c r="AH122" s="1298"/>
      <c r="AI122" s="1295">
        <v>0</v>
      </c>
      <c r="AJ122" s="1296">
        <v>0</v>
      </c>
      <c r="AK122" s="1299">
        <v>0</v>
      </c>
      <c r="AL122" s="1300">
        <v>0</v>
      </c>
      <c r="AM122" s="1295">
        <v>0</v>
      </c>
      <c r="AN122" s="1301">
        <v>0</v>
      </c>
      <c r="AO122" s="1295">
        <v>0</v>
      </c>
      <c r="AP122" s="1301">
        <v>0</v>
      </c>
      <c r="AQ122" s="1295">
        <v>0</v>
      </c>
      <c r="AR122" s="1301">
        <v>0</v>
      </c>
      <c r="AS122" s="1295">
        <v>0</v>
      </c>
      <c r="AT122" s="1301">
        <v>0</v>
      </c>
      <c r="AU122" s="1295">
        <v>0</v>
      </c>
      <c r="AV122" s="1301">
        <v>0</v>
      </c>
      <c r="AW122" s="1295">
        <v>0</v>
      </c>
      <c r="AX122" s="1301">
        <v>0</v>
      </c>
      <c r="AZ122" s="1293"/>
      <c r="BA122" s="1302"/>
      <c r="BD122" s="42"/>
      <c r="BI122" s="22"/>
      <c r="BJ122" s="58"/>
      <c r="BL122" s="22" t="s">
        <v>102</v>
      </c>
      <c r="BN122" s="44"/>
      <c r="BP122" s="45"/>
      <c r="BQ122" s="46"/>
      <c r="BZ122">
        <v>0</v>
      </c>
      <c r="CA122">
        <v>0</v>
      </c>
      <c r="CB122" t="b">
        <f t="shared" si="11"/>
        <v>1</v>
      </c>
    </row>
    <row r="123" spans="1:80" ht="15" customHeight="1" x14ac:dyDescent="0.25">
      <c r="A123" s="22">
        <v>2359</v>
      </c>
      <c r="B123" s="23" t="s">
        <v>344</v>
      </c>
      <c r="C123" s="22" t="s">
        <v>76</v>
      </c>
      <c r="D123" s="23" t="s">
        <v>345</v>
      </c>
      <c r="E123" s="23" t="s">
        <v>190</v>
      </c>
      <c r="F123" s="22" t="s">
        <v>346</v>
      </c>
      <c r="G123" s="22" t="s">
        <v>118</v>
      </c>
      <c r="H123" s="23" t="s">
        <v>347</v>
      </c>
      <c r="I123" s="24" t="s">
        <v>347</v>
      </c>
      <c r="J123" s="1303">
        <v>8.6956519999999995E-2</v>
      </c>
      <c r="K123" s="26" t="s">
        <v>81</v>
      </c>
      <c r="L123" s="27">
        <v>2.25</v>
      </c>
      <c r="M123" s="28">
        <v>6</v>
      </c>
      <c r="N123" s="27">
        <f t="shared" si="8"/>
        <v>13.5</v>
      </c>
      <c r="O123" s="27">
        <f t="shared" si="9"/>
        <v>2.3776335002177555</v>
      </c>
      <c r="P123" s="28">
        <v>4</v>
      </c>
      <c r="Q123" s="28">
        <v>20</v>
      </c>
      <c r="R123" s="29">
        <f t="shared" si="14"/>
        <v>80</v>
      </c>
      <c r="S123" s="30">
        <v>0.13</v>
      </c>
      <c r="T123" s="30">
        <v>0</v>
      </c>
      <c r="U123" s="1304">
        <v>901768</v>
      </c>
      <c r="V123" s="1305">
        <v>6.7499999999999991E-3</v>
      </c>
      <c r="W123" s="1306">
        <v>0</v>
      </c>
      <c r="X123" s="1307">
        <v>0</v>
      </c>
      <c r="Y123" s="1306">
        <v>902338</v>
      </c>
      <c r="Z123" s="1307">
        <v>8.8208999999999996E-2</v>
      </c>
      <c r="AA123" s="1306">
        <v>901767</v>
      </c>
      <c r="AB123" s="1307">
        <v>6</v>
      </c>
      <c r="AC123" s="1306">
        <v>909141</v>
      </c>
      <c r="AD123" s="1307">
        <v>6</v>
      </c>
      <c r="AE123" s="1306">
        <v>911423</v>
      </c>
      <c r="AF123" s="1307">
        <v>6</v>
      </c>
      <c r="AG123" s="1308"/>
      <c r="AH123" s="1309"/>
      <c r="AI123" s="1306">
        <v>0</v>
      </c>
      <c r="AJ123" s="1307">
        <v>0</v>
      </c>
      <c r="AK123" s="1310">
        <v>0</v>
      </c>
      <c r="AL123" s="1311">
        <v>0</v>
      </c>
      <c r="AM123" s="1306">
        <v>932442</v>
      </c>
      <c r="AN123" s="1312">
        <v>2.7699999999999999E-2</v>
      </c>
      <c r="AO123" s="1306">
        <v>902311</v>
      </c>
      <c r="AP123" s="1312">
        <v>4.3750000000000004E-3</v>
      </c>
      <c r="AQ123" s="1306">
        <v>933089</v>
      </c>
      <c r="AR123" s="1312">
        <v>3.7499999999999999E-2</v>
      </c>
      <c r="AS123" s="1306">
        <f t="shared" ref="AS123:AS142" si="15">IF(K123="P",903360,0)</f>
        <v>903360</v>
      </c>
      <c r="AT123" s="1312">
        <f t="shared" ref="AT123:AT142" si="16">1/R123</f>
        <v>1.2500000000000001E-2</v>
      </c>
      <c r="AU123" s="1306">
        <v>0</v>
      </c>
      <c r="AV123" s="1312">
        <v>0</v>
      </c>
      <c r="AW123" s="1306">
        <v>0</v>
      </c>
      <c r="AX123" s="1312">
        <v>0</v>
      </c>
      <c r="AZ123" s="1304"/>
      <c r="BA123" s="1313"/>
      <c r="BD123" s="42"/>
      <c r="BI123" s="22"/>
      <c r="BJ123" s="58"/>
      <c r="BL123" s="22" t="s">
        <v>91</v>
      </c>
      <c r="BN123" s="44"/>
      <c r="BP123" s="45"/>
      <c r="BQ123" s="46"/>
      <c r="BZ123">
        <v>901768</v>
      </c>
      <c r="CA123">
        <v>901768</v>
      </c>
      <c r="CB123" t="b">
        <f t="shared" si="11"/>
        <v>1</v>
      </c>
    </row>
    <row r="124" spans="1:80" ht="15" customHeight="1" x14ac:dyDescent="0.25">
      <c r="A124" s="22">
        <v>2423</v>
      </c>
      <c r="B124" s="23" t="s">
        <v>348</v>
      </c>
      <c r="C124" s="22" t="s">
        <v>170</v>
      </c>
      <c r="D124" s="23" t="s">
        <v>349</v>
      </c>
      <c r="E124" s="23" t="s">
        <v>349</v>
      </c>
      <c r="F124" s="22" t="s">
        <v>310</v>
      </c>
      <c r="G124" s="22" t="s">
        <v>310</v>
      </c>
      <c r="H124" s="23" t="s">
        <v>350</v>
      </c>
      <c r="I124" s="24" t="s">
        <v>350</v>
      </c>
      <c r="J124" s="1314">
        <v>4.1666670000000003E-2</v>
      </c>
      <c r="K124" s="26" t="s">
        <v>81</v>
      </c>
      <c r="L124" s="27">
        <v>0.5</v>
      </c>
      <c r="M124" s="28">
        <v>8</v>
      </c>
      <c r="N124" s="27">
        <f t="shared" si="8"/>
        <v>4</v>
      </c>
      <c r="O124" s="27">
        <f t="shared" si="9"/>
        <v>0.70448400006452017</v>
      </c>
      <c r="P124" s="28">
        <v>6</v>
      </c>
      <c r="Q124" s="28">
        <v>36</v>
      </c>
      <c r="R124" s="29">
        <f t="shared" si="14"/>
        <v>216</v>
      </c>
      <c r="S124" s="30">
        <v>0.17</v>
      </c>
      <c r="T124" s="30">
        <v>0</v>
      </c>
      <c r="U124" s="1315">
        <v>938684</v>
      </c>
      <c r="V124" s="1316">
        <v>2E-3</v>
      </c>
      <c r="W124" s="1317">
        <v>902332</v>
      </c>
      <c r="X124" s="1318">
        <v>0.42221660000000005</v>
      </c>
      <c r="Y124" s="1317">
        <v>0</v>
      </c>
      <c r="Z124" s="1318">
        <v>0</v>
      </c>
      <c r="AA124" s="1317">
        <v>902257</v>
      </c>
      <c r="AB124" s="1318">
        <v>8</v>
      </c>
      <c r="AC124" s="1317">
        <v>938574</v>
      </c>
      <c r="AD124" s="1318">
        <v>8</v>
      </c>
      <c r="AE124" s="1317">
        <v>901569</v>
      </c>
      <c r="AF124" s="1318">
        <v>8</v>
      </c>
      <c r="AG124" s="1319"/>
      <c r="AH124" s="1320"/>
      <c r="AI124" s="1317">
        <v>0</v>
      </c>
      <c r="AJ124" s="1318">
        <v>0</v>
      </c>
      <c r="AK124" s="1321">
        <v>0</v>
      </c>
      <c r="AL124" s="1322">
        <v>0</v>
      </c>
      <c r="AM124" s="1317">
        <v>932435</v>
      </c>
      <c r="AN124" s="1323">
        <v>1.7000000000000001E-2</v>
      </c>
      <c r="AO124" s="1317">
        <v>902311</v>
      </c>
      <c r="AP124" s="1323">
        <v>2.0833333333333333E-3</v>
      </c>
      <c r="AQ124" s="1317">
        <v>933089</v>
      </c>
      <c r="AR124" s="1323">
        <v>2.3148148148148147E-2</v>
      </c>
      <c r="AS124" s="1317">
        <f t="shared" si="15"/>
        <v>903360</v>
      </c>
      <c r="AT124" s="1323">
        <f t="shared" si="16"/>
        <v>4.6296296296296294E-3</v>
      </c>
      <c r="AU124" s="1317">
        <v>0</v>
      </c>
      <c r="AV124" s="1323">
        <v>0</v>
      </c>
      <c r="AW124" s="1317">
        <v>0</v>
      </c>
      <c r="AX124" s="1323">
        <v>0</v>
      </c>
      <c r="AZ124" s="1315">
        <v>936704</v>
      </c>
      <c r="BA124" s="1324">
        <v>3.4510859409123774E-2</v>
      </c>
      <c r="BD124" s="42"/>
      <c r="BI124" s="22"/>
      <c r="BJ124" s="58"/>
      <c r="BL124" s="22" t="s">
        <v>107</v>
      </c>
      <c r="BN124" s="44"/>
      <c r="BP124" s="45"/>
      <c r="BQ124" s="46"/>
      <c r="BR124" t="s">
        <v>351</v>
      </c>
      <c r="BZ124">
        <v>938684</v>
      </c>
      <c r="CA124">
        <v>938854</v>
      </c>
      <c r="CB124" t="b">
        <f t="shared" si="11"/>
        <v>0</v>
      </c>
    </row>
    <row r="125" spans="1:80" ht="15" customHeight="1" x14ac:dyDescent="0.25">
      <c r="A125" s="22">
        <v>2426</v>
      </c>
      <c r="B125" s="23" t="s">
        <v>352</v>
      </c>
      <c r="C125" s="22" t="s">
        <v>170</v>
      </c>
      <c r="D125" s="23" t="s">
        <v>349</v>
      </c>
      <c r="E125" s="23" t="s">
        <v>349</v>
      </c>
      <c r="F125" s="22" t="s">
        <v>255</v>
      </c>
      <c r="G125" s="22" t="s">
        <v>255</v>
      </c>
      <c r="H125" s="23" t="s">
        <v>353</v>
      </c>
      <c r="I125" s="24" t="s">
        <v>353</v>
      </c>
      <c r="J125" s="1325">
        <v>4.1666670000000003E-2</v>
      </c>
      <c r="K125" s="26" t="s">
        <v>81</v>
      </c>
      <c r="L125" s="27">
        <v>1.5</v>
      </c>
      <c r="M125" s="28">
        <v>6</v>
      </c>
      <c r="N125" s="27">
        <f t="shared" si="8"/>
        <v>9</v>
      </c>
      <c r="O125" s="27">
        <f t="shared" si="9"/>
        <v>1.5850890001451705</v>
      </c>
      <c r="P125" s="28">
        <v>4</v>
      </c>
      <c r="Q125" s="28">
        <v>28</v>
      </c>
      <c r="R125" s="29">
        <f t="shared" si="14"/>
        <v>112</v>
      </c>
      <c r="S125" s="30">
        <v>0.17</v>
      </c>
      <c r="T125" s="30">
        <v>0</v>
      </c>
      <c r="U125" s="1326">
        <v>938684</v>
      </c>
      <c r="V125" s="1327">
        <v>4.5000000000000005E-3</v>
      </c>
      <c r="W125" s="1328">
        <v>902332</v>
      </c>
      <c r="X125" s="1329">
        <v>0.94998735000000012</v>
      </c>
      <c r="Y125" s="1328"/>
      <c r="Z125" s="1329">
        <v>0</v>
      </c>
      <c r="AA125" s="1328">
        <v>902257</v>
      </c>
      <c r="AB125" s="1329">
        <v>6</v>
      </c>
      <c r="AC125" s="1328">
        <v>940570</v>
      </c>
      <c r="AD125" s="1329">
        <v>6</v>
      </c>
      <c r="AE125" s="1328">
        <v>933429</v>
      </c>
      <c r="AF125" s="1329">
        <v>6</v>
      </c>
      <c r="AG125" s="1330"/>
      <c r="AH125" s="1331"/>
      <c r="AI125" s="1328">
        <v>0</v>
      </c>
      <c r="AJ125" s="1329">
        <v>0</v>
      </c>
      <c r="AK125" s="1332">
        <v>0</v>
      </c>
      <c r="AL125" s="1333">
        <v>0</v>
      </c>
      <c r="AM125" s="1328">
        <v>932437</v>
      </c>
      <c r="AN125" s="1334">
        <v>2.9100000000000001E-2</v>
      </c>
      <c r="AO125" s="1328">
        <v>902311</v>
      </c>
      <c r="AP125" s="1334">
        <v>4.0178571428571433E-3</v>
      </c>
      <c r="AQ125" s="1328">
        <v>933089</v>
      </c>
      <c r="AR125" s="1334">
        <v>2.6785714285714284E-2</v>
      </c>
      <c r="AS125" s="1328">
        <f t="shared" si="15"/>
        <v>903360</v>
      </c>
      <c r="AT125" s="1334">
        <f t="shared" si="16"/>
        <v>8.9285714285714281E-3</v>
      </c>
      <c r="AU125" s="1328">
        <v>0</v>
      </c>
      <c r="AV125" s="1334">
        <v>0</v>
      </c>
      <c r="AW125" s="1328">
        <v>0</v>
      </c>
      <c r="AX125" s="1334">
        <v>0</v>
      </c>
      <c r="AZ125" s="1326">
        <v>936704</v>
      </c>
      <c r="BA125" s="1335">
        <v>3.4510859409123774E-2</v>
      </c>
      <c r="BD125" s="42"/>
      <c r="BI125" s="22"/>
      <c r="BJ125" s="58"/>
      <c r="BL125" s="22"/>
      <c r="BN125" s="44"/>
      <c r="BP125" s="45"/>
      <c r="BQ125" s="46"/>
      <c r="BZ125">
        <v>938684</v>
      </c>
      <c r="CA125">
        <v>938854</v>
      </c>
      <c r="CB125" t="b">
        <f t="shared" si="11"/>
        <v>0</v>
      </c>
    </row>
    <row r="126" spans="1:80" ht="15" customHeight="1" x14ac:dyDescent="0.25">
      <c r="A126" s="22">
        <v>2428</v>
      </c>
      <c r="B126" s="23" t="s">
        <v>354</v>
      </c>
      <c r="C126" s="22" t="s">
        <v>170</v>
      </c>
      <c r="D126" s="23" t="s">
        <v>349</v>
      </c>
      <c r="E126" s="23" t="s">
        <v>349</v>
      </c>
      <c r="F126" s="22" t="s">
        <v>118</v>
      </c>
      <c r="G126" s="22" t="s">
        <v>118</v>
      </c>
      <c r="H126" s="23" t="s">
        <v>355</v>
      </c>
      <c r="I126" s="24" t="s">
        <v>355</v>
      </c>
      <c r="J126" s="1336">
        <v>4.1666670000000003E-2</v>
      </c>
      <c r="K126" s="26" t="s">
        <v>81</v>
      </c>
      <c r="L126" s="27">
        <v>2.25</v>
      </c>
      <c r="M126" s="28">
        <v>6</v>
      </c>
      <c r="N126" s="27">
        <f t="shared" si="8"/>
        <v>13.5</v>
      </c>
      <c r="O126" s="27">
        <f t="shared" si="9"/>
        <v>2.3776335002177555</v>
      </c>
      <c r="P126" s="28">
        <v>4</v>
      </c>
      <c r="Q126" s="28">
        <v>20</v>
      </c>
      <c r="R126" s="29">
        <f t="shared" si="14"/>
        <v>80</v>
      </c>
      <c r="S126" s="30">
        <v>0.17</v>
      </c>
      <c r="T126" s="30">
        <v>0</v>
      </c>
      <c r="U126" s="1337">
        <v>938684</v>
      </c>
      <c r="V126" s="1338">
        <v>6.7499999999999991E-3</v>
      </c>
      <c r="W126" s="1339">
        <v>902332</v>
      </c>
      <c r="X126" s="1340">
        <v>1.4249810250000001</v>
      </c>
      <c r="Y126" s="1339">
        <v>0</v>
      </c>
      <c r="Z126" s="1340">
        <v>0</v>
      </c>
      <c r="AA126" s="1339">
        <v>902257</v>
      </c>
      <c r="AB126" s="1340">
        <v>6</v>
      </c>
      <c r="AC126" s="1339">
        <v>938575</v>
      </c>
      <c r="AD126" s="1340">
        <v>6</v>
      </c>
      <c r="AE126" s="1339">
        <v>911881</v>
      </c>
      <c r="AF126" s="1340">
        <v>6</v>
      </c>
      <c r="AG126" s="1341"/>
      <c r="AH126" s="1342"/>
      <c r="AI126" s="1339">
        <v>0</v>
      </c>
      <c r="AJ126" s="1340">
        <v>0</v>
      </c>
      <c r="AK126" s="1343">
        <v>0</v>
      </c>
      <c r="AL126" s="1344">
        <v>0</v>
      </c>
      <c r="AM126" s="1339">
        <v>925698</v>
      </c>
      <c r="AN126" s="1345">
        <v>3.9899999999999998E-2</v>
      </c>
      <c r="AO126" s="1339">
        <v>902311</v>
      </c>
      <c r="AP126" s="1345">
        <v>4.3750000000000004E-3</v>
      </c>
      <c r="AQ126" s="1339">
        <v>933089</v>
      </c>
      <c r="AR126" s="1345">
        <v>3.7499999999999999E-2</v>
      </c>
      <c r="AS126" s="1339">
        <f t="shared" si="15"/>
        <v>903360</v>
      </c>
      <c r="AT126" s="1345">
        <f t="shared" si="16"/>
        <v>1.2500000000000001E-2</v>
      </c>
      <c r="AU126" s="1339">
        <v>0</v>
      </c>
      <c r="AV126" s="1345">
        <v>0</v>
      </c>
      <c r="AW126" s="1339">
        <v>0</v>
      </c>
      <c r="AX126" s="1345">
        <v>0</v>
      </c>
      <c r="AZ126" s="1337">
        <v>936704</v>
      </c>
      <c r="BA126" s="1346">
        <v>3.4510859409123774E-2</v>
      </c>
      <c r="BD126" s="42"/>
      <c r="BI126" s="22"/>
      <c r="BJ126" s="58"/>
      <c r="BL126" s="22" t="s">
        <v>118</v>
      </c>
      <c r="BN126" s="44"/>
      <c r="BP126" s="45"/>
      <c r="BQ126" s="46"/>
      <c r="BZ126">
        <v>938684</v>
      </c>
      <c r="CA126">
        <v>938854</v>
      </c>
      <c r="CB126" t="b">
        <f t="shared" si="11"/>
        <v>0</v>
      </c>
    </row>
    <row r="127" spans="1:80" ht="15" customHeight="1" x14ac:dyDescent="0.25">
      <c r="A127" s="22">
        <v>2443</v>
      </c>
      <c r="B127" s="23" t="s">
        <v>356</v>
      </c>
      <c r="C127" s="22" t="s">
        <v>170</v>
      </c>
      <c r="D127" s="23" t="s">
        <v>349</v>
      </c>
      <c r="E127" s="23" t="s">
        <v>349</v>
      </c>
      <c r="F127" s="22" t="s">
        <v>310</v>
      </c>
      <c r="G127" s="22" t="s">
        <v>310</v>
      </c>
      <c r="H127" s="23" t="s">
        <v>350</v>
      </c>
      <c r="I127" s="24" t="s">
        <v>350</v>
      </c>
      <c r="J127" s="1347">
        <v>0</v>
      </c>
      <c r="K127" s="26" t="s">
        <v>81</v>
      </c>
      <c r="L127" s="27">
        <v>0.5</v>
      </c>
      <c r="M127" s="28">
        <v>8</v>
      </c>
      <c r="N127" s="27">
        <f t="shared" si="8"/>
        <v>4</v>
      </c>
      <c r="O127" s="27">
        <f t="shared" si="9"/>
        <v>0.70448400006452017</v>
      </c>
      <c r="P127" s="28">
        <v>6</v>
      </c>
      <c r="Q127" s="28">
        <v>36</v>
      </c>
      <c r="R127" s="29">
        <f t="shared" si="14"/>
        <v>216</v>
      </c>
      <c r="S127" s="30">
        <v>0.17</v>
      </c>
      <c r="T127" s="30">
        <v>0</v>
      </c>
      <c r="U127" s="1348">
        <v>919322</v>
      </c>
      <c r="V127" s="1349">
        <v>2E-3</v>
      </c>
      <c r="W127" s="1350">
        <v>902332</v>
      </c>
      <c r="X127" s="1351">
        <v>0.36005599999999999</v>
      </c>
      <c r="Y127" s="1350">
        <v>0</v>
      </c>
      <c r="Z127" s="1351">
        <v>0</v>
      </c>
      <c r="AA127" s="1350">
        <v>902257</v>
      </c>
      <c r="AB127" s="1351">
        <v>8</v>
      </c>
      <c r="AC127" s="1350">
        <v>919215</v>
      </c>
      <c r="AD127" s="1351">
        <v>8</v>
      </c>
      <c r="AE127" s="1350">
        <v>901569</v>
      </c>
      <c r="AF127" s="1351">
        <v>8</v>
      </c>
      <c r="AG127" s="1352"/>
      <c r="AH127" s="1353"/>
      <c r="AI127" s="1350">
        <v>0</v>
      </c>
      <c r="AJ127" s="1351">
        <v>0</v>
      </c>
      <c r="AK127" s="1354">
        <v>0</v>
      </c>
      <c r="AL127" s="1355">
        <v>0</v>
      </c>
      <c r="AM127" s="1350">
        <v>932436</v>
      </c>
      <c r="AN127" s="1356">
        <v>1.55E-2</v>
      </c>
      <c r="AO127" s="1350">
        <v>902311</v>
      </c>
      <c r="AP127" s="1356">
        <v>2.0833333333333333E-3</v>
      </c>
      <c r="AQ127" s="1350">
        <v>933089</v>
      </c>
      <c r="AR127" s="1356">
        <v>2.3148148148148147E-2</v>
      </c>
      <c r="AS127" s="1350">
        <f t="shared" si="15"/>
        <v>903360</v>
      </c>
      <c r="AT127" s="1356">
        <f t="shared" si="16"/>
        <v>4.6296296296296294E-3</v>
      </c>
      <c r="AU127" s="1350">
        <v>0</v>
      </c>
      <c r="AV127" s="1356">
        <v>0</v>
      </c>
      <c r="AW127" s="1350">
        <v>0</v>
      </c>
      <c r="AX127" s="1356">
        <v>0</v>
      </c>
      <c r="AZ127" s="1348">
        <v>936704</v>
      </c>
      <c r="BA127" s="1357">
        <v>3.4510859409123774E-2</v>
      </c>
      <c r="BD127" s="42"/>
      <c r="BI127" s="22"/>
      <c r="BJ127" s="58"/>
      <c r="BL127" s="22" t="s">
        <v>128</v>
      </c>
      <c r="BN127" s="44"/>
      <c r="BP127" s="45"/>
      <c r="BQ127" s="46"/>
      <c r="BZ127">
        <v>919322</v>
      </c>
      <c r="CA127">
        <v>919322</v>
      </c>
      <c r="CB127" t="b">
        <f t="shared" si="11"/>
        <v>1</v>
      </c>
    </row>
    <row r="128" spans="1:80" ht="15" customHeight="1" x14ac:dyDescent="0.25">
      <c r="A128" s="22">
        <v>2446</v>
      </c>
      <c r="B128" s="23" t="s">
        <v>357</v>
      </c>
      <c r="C128" s="22" t="s">
        <v>170</v>
      </c>
      <c r="D128" s="23" t="s">
        <v>349</v>
      </c>
      <c r="E128" s="23" t="s">
        <v>349</v>
      </c>
      <c r="F128" s="22" t="s">
        <v>255</v>
      </c>
      <c r="G128" s="22" t="s">
        <v>255</v>
      </c>
      <c r="H128" s="23" t="s">
        <v>353</v>
      </c>
      <c r="I128" s="24" t="s">
        <v>353</v>
      </c>
      <c r="J128" s="1358">
        <v>0</v>
      </c>
      <c r="K128" s="26" t="s">
        <v>81</v>
      </c>
      <c r="L128" s="27">
        <v>1.5</v>
      </c>
      <c r="M128" s="28">
        <v>6</v>
      </c>
      <c r="N128" s="27">
        <f t="shared" si="8"/>
        <v>9</v>
      </c>
      <c r="O128" s="27">
        <f t="shared" si="9"/>
        <v>1.5850890001451705</v>
      </c>
      <c r="P128" s="28">
        <v>4</v>
      </c>
      <c r="Q128" s="28">
        <v>28</v>
      </c>
      <c r="R128" s="29">
        <f t="shared" si="14"/>
        <v>112</v>
      </c>
      <c r="S128" s="30">
        <v>0.17</v>
      </c>
      <c r="T128" s="30">
        <v>0</v>
      </c>
      <c r="U128" s="1359">
        <v>919322</v>
      </c>
      <c r="V128" s="1360">
        <v>4.5000000000000005E-3</v>
      </c>
      <c r="W128" s="1361">
        <v>902332</v>
      </c>
      <c r="X128" s="1362">
        <v>0.81012600000000001</v>
      </c>
      <c r="Y128" s="1361">
        <v>0</v>
      </c>
      <c r="Z128" s="1362">
        <v>0</v>
      </c>
      <c r="AA128" s="1361">
        <v>902257</v>
      </c>
      <c r="AB128" s="1362">
        <v>6</v>
      </c>
      <c r="AC128" s="1361">
        <v>919216</v>
      </c>
      <c r="AD128" s="1362">
        <v>6</v>
      </c>
      <c r="AE128" s="1361">
        <v>933429</v>
      </c>
      <c r="AF128" s="1362">
        <v>6</v>
      </c>
      <c r="AG128" s="1363"/>
      <c r="AH128" s="1364"/>
      <c r="AI128" s="1361">
        <v>0</v>
      </c>
      <c r="AJ128" s="1362">
        <v>0</v>
      </c>
      <c r="AK128" s="1365">
        <v>0</v>
      </c>
      <c r="AL128" s="1366">
        <v>0</v>
      </c>
      <c r="AM128" s="1361">
        <v>932438</v>
      </c>
      <c r="AN128" s="1367">
        <v>2.92E-2</v>
      </c>
      <c r="AO128" s="1361">
        <v>902311</v>
      </c>
      <c r="AP128" s="1367">
        <v>4.0178571428571433E-3</v>
      </c>
      <c r="AQ128" s="1361">
        <v>933089</v>
      </c>
      <c r="AR128" s="1367">
        <v>2.6785714285714284E-2</v>
      </c>
      <c r="AS128" s="1361">
        <f t="shared" si="15"/>
        <v>903360</v>
      </c>
      <c r="AT128" s="1367">
        <f t="shared" si="16"/>
        <v>8.9285714285714281E-3</v>
      </c>
      <c r="AU128" s="1361">
        <v>0</v>
      </c>
      <c r="AV128" s="1367">
        <v>0</v>
      </c>
      <c r="AW128" s="1361">
        <v>0</v>
      </c>
      <c r="AX128" s="1367">
        <v>0</v>
      </c>
      <c r="AZ128" s="1359">
        <v>936704</v>
      </c>
      <c r="BA128" s="1368">
        <v>3.4510859409123774E-2</v>
      </c>
      <c r="BD128" s="42"/>
      <c r="BI128" s="22"/>
      <c r="BJ128" s="58"/>
      <c r="BL128" s="22" t="s">
        <v>358</v>
      </c>
      <c r="BN128" s="44"/>
      <c r="BP128" s="45"/>
      <c r="BQ128" s="46"/>
      <c r="BZ128">
        <v>919322</v>
      </c>
      <c r="CA128">
        <v>919322</v>
      </c>
      <c r="CB128" t="b">
        <f t="shared" si="11"/>
        <v>1</v>
      </c>
    </row>
    <row r="129" spans="1:80" ht="15" customHeight="1" x14ac:dyDescent="0.25">
      <c r="A129" s="22">
        <v>2448</v>
      </c>
      <c r="B129" s="23" t="s">
        <v>359</v>
      </c>
      <c r="C129" s="22" t="s">
        <v>170</v>
      </c>
      <c r="D129" s="23" t="s">
        <v>349</v>
      </c>
      <c r="E129" s="23" t="s">
        <v>349</v>
      </c>
      <c r="F129" s="22" t="s">
        <v>118</v>
      </c>
      <c r="G129" s="22" t="s">
        <v>118</v>
      </c>
      <c r="H129" s="23" t="s">
        <v>355</v>
      </c>
      <c r="I129" s="24" t="s">
        <v>355</v>
      </c>
      <c r="J129" s="1369">
        <v>0</v>
      </c>
      <c r="K129" s="26" t="s">
        <v>81</v>
      </c>
      <c r="L129" s="27">
        <v>2.25</v>
      </c>
      <c r="M129" s="28">
        <v>6</v>
      </c>
      <c r="N129" s="27">
        <f t="shared" si="8"/>
        <v>13.5</v>
      </c>
      <c r="O129" s="27">
        <f t="shared" si="9"/>
        <v>2.3776335002177555</v>
      </c>
      <c r="P129" s="28">
        <v>4</v>
      </c>
      <c r="Q129" s="28">
        <v>20</v>
      </c>
      <c r="R129" s="29">
        <f t="shared" si="14"/>
        <v>80</v>
      </c>
      <c r="S129" s="30">
        <v>0.17</v>
      </c>
      <c r="T129" s="30">
        <v>0</v>
      </c>
      <c r="U129" s="1370">
        <v>919322</v>
      </c>
      <c r="V129" s="1371">
        <v>6.7499999999999991E-3</v>
      </c>
      <c r="W129" s="1372">
        <v>902332</v>
      </c>
      <c r="X129" s="1373">
        <v>1.2151890000000001</v>
      </c>
      <c r="Y129" s="1372">
        <v>0</v>
      </c>
      <c r="Z129" s="1373">
        <v>0</v>
      </c>
      <c r="AA129" s="1372">
        <v>902257</v>
      </c>
      <c r="AB129" s="1373">
        <v>6</v>
      </c>
      <c r="AC129" s="1372">
        <v>925508</v>
      </c>
      <c r="AD129" s="1373">
        <v>6</v>
      </c>
      <c r="AE129" s="1372">
        <v>911881</v>
      </c>
      <c r="AF129" s="1373">
        <v>6</v>
      </c>
      <c r="AG129" s="1374"/>
      <c r="AH129" s="1375"/>
      <c r="AI129" s="1372">
        <v>0</v>
      </c>
      <c r="AJ129" s="1373">
        <v>0</v>
      </c>
      <c r="AK129" s="1376">
        <v>0</v>
      </c>
      <c r="AL129" s="1377">
        <v>0</v>
      </c>
      <c r="AM129" s="1372">
        <v>901729</v>
      </c>
      <c r="AN129" s="1378">
        <v>4.1099999999999998E-2</v>
      </c>
      <c r="AO129" s="1372">
        <v>902311</v>
      </c>
      <c r="AP129" s="1378">
        <v>4.3750000000000004E-3</v>
      </c>
      <c r="AQ129" s="1372">
        <v>933089</v>
      </c>
      <c r="AR129" s="1378">
        <v>3.7499999999999999E-2</v>
      </c>
      <c r="AS129" s="1372">
        <f t="shared" si="15"/>
        <v>903360</v>
      </c>
      <c r="AT129" s="1378">
        <f t="shared" si="16"/>
        <v>1.2500000000000001E-2</v>
      </c>
      <c r="AU129" s="1372">
        <v>0</v>
      </c>
      <c r="AV129" s="1378">
        <v>0</v>
      </c>
      <c r="AW129" s="1372">
        <v>0</v>
      </c>
      <c r="AX129" s="1378">
        <v>0</v>
      </c>
      <c r="AZ129" s="1370">
        <v>936704</v>
      </c>
      <c r="BA129" s="1379">
        <v>3.4510859409123774E-2</v>
      </c>
      <c r="BD129" s="42"/>
      <c r="BI129" s="22"/>
      <c r="BJ129" s="58"/>
      <c r="BL129" s="22" t="s">
        <v>358</v>
      </c>
      <c r="BN129" s="44"/>
      <c r="BP129" s="45"/>
      <c r="BQ129" s="46"/>
      <c r="BZ129">
        <v>919322</v>
      </c>
      <c r="CA129">
        <v>919322</v>
      </c>
      <c r="CB129" t="b">
        <f t="shared" si="11"/>
        <v>1</v>
      </c>
    </row>
    <row r="130" spans="1:80" ht="15" customHeight="1" x14ac:dyDescent="0.25">
      <c r="A130" s="22">
        <v>2453</v>
      </c>
      <c r="B130" s="23" t="s">
        <v>360</v>
      </c>
      <c r="C130" s="22" t="s">
        <v>170</v>
      </c>
      <c r="D130" s="23" t="s">
        <v>349</v>
      </c>
      <c r="E130" s="23" t="s">
        <v>349</v>
      </c>
      <c r="F130" s="22" t="s">
        <v>310</v>
      </c>
      <c r="G130" s="22" t="s">
        <v>310</v>
      </c>
      <c r="H130" s="23" t="s">
        <v>350</v>
      </c>
      <c r="I130" s="24" t="s">
        <v>350</v>
      </c>
      <c r="J130" s="1380">
        <v>0</v>
      </c>
      <c r="K130" s="26" t="s">
        <v>81</v>
      </c>
      <c r="L130" s="27">
        <v>0.5</v>
      </c>
      <c r="M130" s="28">
        <v>8</v>
      </c>
      <c r="N130" s="27">
        <f t="shared" si="8"/>
        <v>4</v>
      </c>
      <c r="O130" s="27">
        <f t="shared" si="9"/>
        <v>0.70448400006452017</v>
      </c>
      <c r="P130" s="28">
        <v>6</v>
      </c>
      <c r="Q130" s="28">
        <v>36</v>
      </c>
      <c r="R130" s="29">
        <f t="shared" si="14"/>
        <v>216</v>
      </c>
      <c r="S130" s="30">
        <v>0.17</v>
      </c>
      <c r="T130" s="30">
        <v>0</v>
      </c>
      <c r="U130" s="1381">
        <v>919321</v>
      </c>
      <c r="V130" s="1382">
        <v>1.3490270142659606E-3</v>
      </c>
      <c r="W130" s="1383">
        <v>902332</v>
      </c>
      <c r="X130" s="1384">
        <v>0.33563927017638528</v>
      </c>
      <c r="Y130" s="1383">
        <v>0</v>
      </c>
      <c r="Z130" s="1384">
        <v>0</v>
      </c>
      <c r="AA130" s="1383">
        <v>902257</v>
      </c>
      <c r="AB130" s="1384">
        <v>8</v>
      </c>
      <c r="AC130" s="1383">
        <v>919214</v>
      </c>
      <c r="AD130" s="1384">
        <v>8</v>
      </c>
      <c r="AE130" s="1383">
        <v>901569</v>
      </c>
      <c r="AF130" s="1384">
        <v>8</v>
      </c>
      <c r="AG130" s="1385"/>
      <c r="AH130" s="1386"/>
      <c r="AI130" s="1383">
        <v>0</v>
      </c>
      <c r="AJ130" s="1384">
        <v>0</v>
      </c>
      <c r="AK130" s="1387">
        <v>0</v>
      </c>
      <c r="AL130" s="1388">
        <v>0</v>
      </c>
      <c r="AM130" s="1383">
        <v>932436</v>
      </c>
      <c r="AN130" s="1389">
        <v>1.55E-2</v>
      </c>
      <c r="AO130" s="1383">
        <v>902311</v>
      </c>
      <c r="AP130" s="1389">
        <v>2.0833333333333333E-3</v>
      </c>
      <c r="AQ130" s="1383">
        <v>933089</v>
      </c>
      <c r="AR130" s="1389">
        <v>2.3148148148148147E-2</v>
      </c>
      <c r="AS130" s="1383">
        <f t="shared" si="15"/>
        <v>903360</v>
      </c>
      <c r="AT130" s="1389">
        <f t="shared" si="16"/>
        <v>4.6296296296296294E-3</v>
      </c>
      <c r="AU130" s="1383">
        <v>0</v>
      </c>
      <c r="AV130" s="1389">
        <v>0</v>
      </c>
      <c r="AW130" s="1383">
        <v>0</v>
      </c>
      <c r="AX130" s="1389">
        <v>0</v>
      </c>
      <c r="AZ130" s="1381">
        <v>936704</v>
      </c>
      <c r="BA130" s="1390">
        <v>3.4510859409123774E-2</v>
      </c>
      <c r="BD130" s="42"/>
      <c r="BI130" s="22"/>
      <c r="BJ130" s="58"/>
      <c r="BL130" s="22" t="s">
        <v>358</v>
      </c>
      <c r="BN130" s="44"/>
      <c r="BP130" s="45"/>
      <c r="BQ130" s="46"/>
      <c r="BZ130">
        <v>919321</v>
      </c>
      <c r="CA130">
        <v>919321</v>
      </c>
      <c r="CB130" t="b">
        <f t="shared" si="11"/>
        <v>1</v>
      </c>
    </row>
    <row r="131" spans="1:80" ht="15" customHeight="1" x14ac:dyDescent="0.25">
      <c r="A131" s="22">
        <v>2456</v>
      </c>
      <c r="B131" s="23" t="s">
        <v>361</v>
      </c>
      <c r="C131" s="22" t="s">
        <v>170</v>
      </c>
      <c r="D131" s="23" t="s">
        <v>349</v>
      </c>
      <c r="E131" s="23" t="s">
        <v>349</v>
      </c>
      <c r="F131" s="22" t="s">
        <v>255</v>
      </c>
      <c r="G131" s="22" t="s">
        <v>255</v>
      </c>
      <c r="H131" s="23" t="s">
        <v>353</v>
      </c>
      <c r="I131" s="24" t="s">
        <v>353</v>
      </c>
      <c r="J131" s="1391">
        <v>0</v>
      </c>
      <c r="K131" s="26" t="s">
        <v>81</v>
      </c>
      <c r="L131" s="27">
        <v>1.5</v>
      </c>
      <c r="M131" s="28">
        <v>6</v>
      </c>
      <c r="N131" s="27">
        <f t="shared" si="8"/>
        <v>9</v>
      </c>
      <c r="O131" s="27">
        <f t="shared" si="9"/>
        <v>1.5850890001451705</v>
      </c>
      <c r="P131" s="28">
        <v>4</v>
      </c>
      <c r="Q131" s="28">
        <v>28</v>
      </c>
      <c r="R131" s="29">
        <f t="shared" si="14"/>
        <v>112</v>
      </c>
      <c r="S131" s="30">
        <v>0.17</v>
      </c>
      <c r="T131" s="30">
        <v>0</v>
      </c>
      <c r="U131" s="1392">
        <v>919321</v>
      </c>
      <c r="V131" s="1393">
        <v>3.0353107820984119E-3</v>
      </c>
      <c r="W131" s="1394">
        <v>902332</v>
      </c>
      <c r="X131" s="1395">
        <v>0.75518835789686689</v>
      </c>
      <c r="Y131" s="1394">
        <v>0</v>
      </c>
      <c r="Z131" s="1395">
        <v>0</v>
      </c>
      <c r="AA131" s="1394">
        <v>902257</v>
      </c>
      <c r="AB131" s="1395">
        <v>6</v>
      </c>
      <c r="AC131" s="1394">
        <v>919217</v>
      </c>
      <c r="AD131" s="1395">
        <v>6</v>
      </c>
      <c r="AE131" s="1394">
        <v>933429</v>
      </c>
      <c r="AF131" s="1395">
        <v>6</v>
      </c>
      <c r="AG131" s="1396"/>
      <c r="AH131" s="1397"/>
      <c r="AI131" s="1394">
        <v>0</v>
      </c>
      <c r="AJ131" s="1395">
        <v>0</v>
      </c>
      <c r="AK131" s="1398">
        <v>0</v>
      </c>
      <c r="AL131" s="1399">
        <v>0</v>
      </c>
      <c r="AM131" s="1394">
        <v>932438</v>
      </c>
      <c r="AN131" s="1400">
        <v>2.92E-2</v>
      </c>
      <c r="AO131" s="1394">
        <v>902311</v>
      </c>
      <c r="AP131" s="1400">
        <v>4.0178571428571433E-3</v>
      </c>
      <c r="AQ131" s="1394">
        <v>933089</v>
      </c>
      <c r="AR131" s="1400">
        <v>2.6785714285714284E-2</v>
      </c>
      <c r="AS131" s="1394">
        <f t="shared" si="15"/>
        <v>903360</v>
      </c>
      <c r="AT131" s="1400">
        <f t="shared" si="16"/>
        <v>8.9285714285714281E-3</v>
      </c>
      <c r="AU131" s="1394">
        <v>0</v>
      </c>
      <c r="AV131" s="1400">
        <v>0</v>
      </c>
      <c r="AW131" s="1394">
        <v>0</v>
      </c>
      <c r="AX131" s="1400">
        <v>0</v>
      </c>
      <c r="AZ131" s="1392">
        <v>936704</v>
      </c>
      <c r="BA131" s="1401">
        <v>3.4510859409123774E-2</v>
      </c>
      <c r="BD131" s="42"/>
      <c r="BI131" s="22"/>
      <c r="BJ131" s="58"/>
      <c r="BL131" s="22" t="s">
        <v>358</v>
      </c>
      <c r="BN131" s="44"/>
      <c r="BP131" s="45"/>
      <c r="BQ131" s="46"/>
      <c r="BZ131">
        <v>919321</v>
      </c>
      <c r="CA131">
        <v>919321</v>
      </c>
      <c r="CB131" t="b">
        <f t="shared" si="11"/>
        <v>1</v>
      </c>
    </row>
    <row r="132" spans="1:80" ht="15" customHeight="1" x14ac:dyDescent="0.25">
      <c r="A132" s="22">
        <v>2458</v>
      </c>
      <c r="B132" s="23" t="s">
        <v>362</v>
      </c>
      <c r="C132" s="22" t="s">
        <v>170</v>
      </c>
      <c r="D132" s="23" t="s">
        <v>349</v>
      </c>
      <c r="E132" s="23" t="s">
        <v>349</v>
      </c>
      <c r="F132" s="22" t="s">
        <v>118</v>
      </c>
      <c r="G132" s="22" t="s">
        <v>118</v>
      </c>
      <c r="H132" s="23" t="s">
        <v>355</v>
      </c>
      <c r="I132" s="24" t="s">
        <v>355</v>
      </c>
      <c r="J132" s="1402">
        <v>0</v>
      </c>
      <c r="K132" s="26" t="s">
        <v>81</v>
      </c>
      <c r="L132" s="27">
        <v>2.25</v>
      </c>
      <c r="M132" s="28">
        <v>6</v>
      </c>
      <c r="N132" s="27">
        <f t="shared" si="8"/>
        <v>13.5</v>
      </c>
      <c r="O132" s="27">
        <f t="shared" si="9"/>
        <v>2.3776335002177555</v>
      </c>
      <c r="P132" s="28">
        <v>4</v>
      </c>
      <c r="Q132" s="28">
        <v>20</v>
      </c>
      <c r="R132" s="29">
        <f t="shared" si="14"/>
        <v>80</v>
      </c>
      <c r="S132" s="30">
        <v>0.17</v>
      </c>
      <c r="T132" s="30">
        <v>0</v>
      </c>
      <c r="U132" s="1403">
        <v>919321</v>
      </c>
      <c r="V132" s="1404">
        <v>4.5529661731476172E-3</v>
      </c>
      <c r="W132" s="1405">
        <v>902332</v>
      </c>
      <c r="X132" s="1406">
        <v>1.1327825368453004</v>
      </c>
      <c r="Y132" s="1405">
        <v>0</v>
      </c>
      <c r="Z132" s="1406">
        <v>0</v>
      </c>
      <c r="AA132" s="1405">
        <v>902257</v>
      </c>
      <c r="AB132" s="1406">
        <v>6</v>
      </c>
      <c r="AC132" s="1405">
        <v>925511</v>
      </c>
      <c r="AD132" s="1406">
        <v>6</v>
      </c>
      <c r="AE132" s="1405">
        <v>911881</v>
      </c>
      <c r="AF132" s="1406">
        <v>6</v>
      </c>
      <c r="AG132" s="1407"/>
      <c r="AH132" s="1408"/>
      <c r="AI132" s="1405">
        <v>0</v>
      </c>
      <c r="AJ132" s="1406">
        <v>0</v>
      </c>
      <c r="AK132" s="1409">
        <v>0</v>
      </c>
      <c r="AL132" s="1410">
        <v>0</v>
      </c>
      <c r="AM132" s="1405">
        <v>901729</v>
      </c>
      <c r="AN132" s="1411">
        <v>4.1099999999999998E-2</v>
      </c>
      <c r="AO132" s="1405">
        <v>902311</v>
      </c>
      <c r="AP132" s="1411">
        <v>4.3750000000000004E-3</v>
      </c>
      <c r="AQ132" s="1405">
        <v>933089</v>
      </c>
      <c r="AR132" s="1411">
        <v>3.7499999999999999E-2</v>
      </c>
      <c r="AS132" s="1405">
        <f t="shared" si="15"/>
        <v>903360</v>
      </c>
      <c r="AT132" s="1411">
        <f t="shared" si="16"/>
        <v>1.2500000000000001E-2</v>
      </c>
      <c r="AU132" s="1405">
        <v>0</v>
      </c>
      <c r="AV132" s="1411">
        <v>0</v>
      </c>
      <c r="AW132" s="1405">
        <v>0</v>
      </c>
      <c r="AX132" s="1411">
        <v>0</v>
      </c>
      <c r="AZ132" s="1403">
        <v>936704</v>
      </c>
      <c r="BA132" s="1412">
        <v>3.4510859409123774E-2</v>
      </c>
      <c r="BD132" s="42"/>
      <c r="BI132" s="22"/>
      <c r="BJ132" s="58"/>
      <c r="BL132" s="22" t="s">
        <v>358</v>
      </c>
      <c r="BN132" s="44"/>
      <c r="BP132" s="45"/>
      <c r="BQ132" s="46"/>
      <c r="BZ132">
        <v>919321</v>
      </c>
      <c r="CA132">
        <v>919321</v>
      </c>
      <c r="CB132" t="b">
        <f t="shared" si="11"/>
        <v>1</v>
      </c>
    </row>
    <row r="133" spans="1:80" ht="15" customHeight="1" x14ac:dyDescent="0.25">
      <c r="A133" s="22">
        <v>2459</v>
      </c>
      <c r="B133" s="23" t="s">
        <v>363</v>
      </c>
      <c r="C133" s="22" t="s">
        <v>76</v>
      </c>
      <c r="D133" s="23" t="s">
        <v>345</v>
      </c>
      <c r="E133" s="23" t="s">
        <v>193</v>
      </c>
      <c r="F133" s="22" t="s">
        <v>346</v>
      </c>
      <c r="G133" s="22" t="s">
        <v>118</v>
      </c>
      <c r="H133" s="23" t="s">
        <v>347</v>
      </c>
      <c r="I133" s="24" t="s">
        <v>347</v>
      </c>
      <c r="J133" s="1413">
        <v>8.6956519999999995E-2</v>
      </c>
      <c r="K133" s="26" t="s">
        <v>81</v>
      </c>
      <c r="L133" s="27">
        <v>2.25</v>
      </c>
      <c r="M133" s="28">
        <v>6</v>
      </c>
      <c r="N133" s="27">
        <f t="shared" si="8"/>
        <v>13.5</v>
      </c>
      <c r="O133" s="27">
        <f t="shared" si="9"/>
        <v>2.3776335002177555</v>
      </c>
      <c r="P133" s="28">
        <v>4</v>
      </c>
      <c r="Q133" s="28">
        <v>20</v>
      </c>
      <c r="R133" s="29">
        <f t="shared" si="14"/>
        <v>80</v>
      </c>
      <c r="S133" s="30">
        <v>0.13</v>
      </c>
      <c r="T133" s="30">
        <v>0</v>
      </c>
      <c r="U133" s="1414">
        <v>901769</v>
      </c>
      <c r="V133" s="1415">
        <v>6.7564185976677852E-3</v>
      </c>
      <c r="W133" s="1416">
        <v>0</v>
      </c>
      <c r="X133" s="1417">
        <v>0</v>
      </c>
      <c r="Y133" s="1416">
        <v>902338</v>
      </c>
      <c r="Z133" s="1417">
        <v>0.10959299999999998</v>
      </c>
      <c r="AA133" s="1416">
        <v>901767</v>
      </c>
      <c r="AB133" s="1417">
        <v>6</v>
      </c>
      <c r="AC133" s="1416">
        <v>909144</v>
      </c>
      <c r="AD133" s="1417">
        <v>6</v>
      </c>
      <c r="AE133" s="1416">
        <v>911423</v>
      </c>
      <c r="AF133" s="1417">
        <v>6</v>
      </c>
      <c r="AG133" s="1418"/>
      <c r="AH133" s="1419"/>
      <c r="AI133" s="1416">
        <v>0</v>
      </c>
      <c r="AJ133" s="1417">
        <v>0</v>
      </c>
      <c r="AK133" s="1420">
        <v>0</v>
      </c>
      <c r="AL133" s="1421">
        <v>0</v>
      </c>
      <c r="AM133" s="1416">
        <v>932442</v>
      </c>
      <c r="AN133" s="1422">
        <v>2.7699999999999999E-2</v>
      </c>
      <c r="AO133" s="1416">
        <v>902311</v>
      </c>
      <c r="AP133" s="1422">
        <v>4.3750000000000004E-3</v>
      </c>
      <c r="AQ133" s="1416">
        <v>933089</v>
      </c>
      <c r="AR133" s="1422">
        <v>3.7499999999999999E-2</v>
      </c>
      <c r="AS133" s="1416">
        <f t="shared" si="15"/>
        <v>903360</v>
      </c>
      <c r="AT133" s="1422">
        <f t="shared" si="16"/>
        <v>1.2500000000000001E-2</v>
      </c>
      <c r="AU133" s="1416">
        <v>0</v>
      </c>
      <c r="AV133" s="1422">
        <v>0</v>
      </c>
      <c r="AW133" s="1416">
        <v>0</v>
      </c>
      <c r="AX133" s="1422">
        <v>0</v>
      </c>
      <c r="AZ133" s="1414"/>
      <c r="BA133" s="1423"/>
      <c r="BD133" s="42"/>
      <c r="BI133" s="22"/>
      <c r="BJ133" s="58"/>
      <c r="BL133" s="22" t="s">
        <v>358</v>
      </c>
      <c r="BN133" s="44"/>
      <c r="BP133" s="45"/>
      <c r="BQ133" s="46"/>
      <c r="BZ133">
        <v>901769</v>
      </c>
      <c r="CA133">
        <v>901769</v>
      </c>
      <c r="CB133" t="b">
        <f t="shared" si="11"/>
        <v>1</v>
      </c>
    </row>
    <row r="134" spans="1:80" ht="15" customHeight="1" x14ac:dyDescent="0.25">
      <c r="A134" s="22">
        <v>2463</v>
      </c>
      <c r="B134" s="23" t="s">
        <v>364</v>
      </c>
      <c r="C134" s="22" t="s">
        <v>170</v>
      </c>
      <c r="D134" s="23" t="s">
        <v>349</v>
      </c>
      <c r="E134" s="23" t="s">
        <v>349</v>
      </c>
      <c r="F134" s="22" t="s">
        <v>310</v>
      </c>
      <c r="G134" s="22" t="s">
        <v>310</v>
      </c>
      <c r="H134" s="23" t="s">
        <v>350</v>
      </c>
      <c r="I134" s="24" t="s">
        <v>350</v>
      </c>
      <c r="J134" s="1424">
        <v>0</v>
      </c>
      <c r="K134" s="26" t="s">
        <v>81</v>
      </c>
      <c r="L134" s="27">
        <v>0.5</v>
      </c>
      <c r="M134" s="28">
        <v>8</v>
      </c>
      <c r="N134" s="27">
        <f t="shared" si="8"/>
        <v>4</v>
      </c>
      <c r="O134" s="27">
        <f t="shared" si="9"/>
        <v>0.70448400006452017</v>
      </c>
      <c r="P134" s="28">
        <v>6</v>
      </c>
      <c r="Q134" s="28">
        <v>36</v>
      </c>
      <c r="R134" s="29">
        <f t="shared" si="14"/>
        <v>216</v>
      </c>
      <c r="S134" s="30">
        <v>0.17</v>
      </c>
      <c r="T134" s="30">
        <v>0</v>
      </c>
      <c r="U134" s="1425">
        <v>919320</v>
      </c>
      <c r="V134" s="1426">
        <v>1.8571826539140123E-3</v>
      </c>
      <c r="W134" s="1427">
        <v>902332</v>
      </c>
      <c r="X134" s="1428">
        <v>0.37175410901662176</v>
      </c>
      <c r="Y134" s="1427">
        <v>0</v>
      </c>
      <c r="Z134" s="1428">
        <v>0</v>
      </c>
      <c r="AA134" s="1427">
        <v>902257</v>
      </c>
      <c r="AB134" s="1428">
        <v>8</v>
      </c>
      <c r="AC134" s="1427">
        <v>940039</v>
      </c>
      <c r="AD134" s="1428">
        <v>8</v>
      </c>
      <c r="AE134" s="1427">
        <v>901569</v>
      </c>
      <c r="AF134" s="1428">
        <v>8</v>
      </c>
      <c r="AG134" s="1429"/>
      <c r="AH134" s="1430"/>
      <c r="AI134" s="1427">
        <v>0</v>
      </c>
      <c r="AJ134" s="1428">
        <v>0</v>
      </c>
      <c r="AK134" s="1431">
        <v>0</v>
      </c>
      <c r="AL134" s="1432">
        <v>0</v>
      </c>
      <c r="AM134" s="1427">
        <v>932436</v>
      </c>
      <c r="AN134" s="1433">
        <v>1.55E-2</v>
      </c>
      <c r="AO134" s="1427">
        <v>902311</v>
      </c>
      <c r="AP134" s="1433">
        <v>2.0833333333333333E-3</v>
      </c>
      <c r="AQ134" s="1427">
        <v>933089</v>
      </c>
      <c r="AR134" s="1433">
        <v>2.3148148148148147E-2</v>
      </c>
      <c r="AS134" s="1427">
        <f t="shared" si="15"/>
        <v>903360</v>
      </c>
      <c r="AT134" s="1433">
        <f t="shared" si="16"/>
        <v>4.6296296296296294E-3</v>
      </c>
      <c r="AU134" s="1427">
        <v>0</v>
      </c>
      <c r="AV134" s="1433">
        <v>0</v>
      </c>
      <c r="AW134" s="1427">
        <v>0</v>
      </c>
      <c r="AX134" s="1433">
        <v>0</v>
      </c>
      <c r="AZ134" s="1425">
        <v>936704</v>
      </c>
      <c r="BA134" s="1434">
        <v>3.4510859409123774E-2</v>
      </c>
      <c r="BD134" s="42"/>
      <c r="BI134" s="22"/>
      <c r="BJ134" s="58"/>
      <c r="BL134" s="22" t="s">
        <v>358</v>
      </c>
      <c r="BN134" s="44"/>
      <c r="BP134" s="45"/>
      <c r="BQ134" s="46"/>
      <c r="BZ134">
        <v>919320</v>
      </c>
      <c r="CA134">
        <v>919320</v>
      </c>
      <c r="CB134" t="b">
        <f t="shared" si="11"/>
        <v>1</v>
      </c>
    </row>
    <row r="135" spans="1:80" ht="15" customHeight="1" x14ac:dyDescent="0.25">
      <c r="A135" s="22">
        <v>2466</v>
      </c>
      <c r="B135" s="23" t="s">
        <v>365</v>
      </c>
      <c r="C135" s="22" t="s">
        <v>170</v>
      </c>
      <c r="D135" s="23" t="s">
        <v>349</v>
      </c>
      <c r="E135" s="23" t="s">
        <v>349</v>
      </c>
      <c r="F135" s="22" t="s">
        <v>255</v>
      </c>
      <c r="G135" s="22" t="s">
        <v>255</v>
      </c>
      <c r="H135" s="23" t="s">
        <v>353</v>
      </c>
      <c r="I135" s="24" t="s">
        <v>353</v>
      </c>
      <c r="J135" s="1435">
        <v>0</v>
      </c>
      <c r="K135" s="26" t="s">
        <v>81</v>
      </c>
      <c r="L135" s="27">
        <v>1.5</v>
      </c>
      <c r="M135" s="28">
        <v>6</v>
      </c>
      <c r="N135" s="27">
        <f t="shared" si="8"/>
        <v>9</v>
      </c>
      <c r="O135" s="27">
        <f t="shared" si="9"/>
        <v>1.5850890001451705</v>
      </c>
      <c r="P135" s="28">
        <v>4</v>
      </c>
      <c r="Q135" s="28">
        <v>28</v>
      </c>
      <c r="R135" s="29">
        <f t="shared" si="14"/>
        <v>112</v>
      </c>
      <c r="S135" s="30">
        <v>0.17</v>
      </c>
      <c r="T135" s="30">
        <v>0</v>
      </c>
      <c r="U135" s="1436">
        <v>919320</v>
      </c>
      <c r="V135" s="1437">
        <v>4.1786609713065281E-3</v>
      </c>
      <c r="W135" s="1438">
        <v>902332</v>
      </c>
      <c r="X135" s="1439">
        <v>0.83644674528739904</v>
      </c>
      <c r="Y135" s="1438">
        <v>0</v>
      </c>
      <c r="Z135" s="1439">
        <v>0</v>
      </c>
      <c r="AA135" s="1438">
        <v>902257</v>
      </c>
      <c r="AB135" s="1439">
        <v>6</v>
      </c>
      <c r="AC135" s="1438">
        <v>940044</v>
      </c>
      <c r="AD135" s="1439">
        <v>6</v>
      </c>
      <c r="AE135" s="1438">
        <v>933429</v>
      </c>
      <c r="AF135" s="1439">
        <v>6</v>
      </c>
      <c r="AG135" s="1440"/>
      <c r="AH135" s="1441"/>
      <c r="AI135" s="1438">
        <v>0</v>
      </c>
      <c r="AJ135" s="1439">
        <v>0</v>
      </c>
      <c r="AK135" s="1442">
        <v>0</v>
      </c>
      <c r="AL135" s="1443">
        <v>0</v>
      </c>
      <c r="AM135" s="1438">
        <v>932438</v>
      </c>
      <c r="AN135" s="1444">
        <v>2.92E-2</v>
      </c>
      <c r="AO135" s="1438">
        <v>902311</v>
      </c>
      <c r="AP135" s="1444">
        <v>4.0178571428571433E-3</v>
      </c>
      <c r="AQ135" s="1438">
        <v>933089</v>
      </c>
      <c r="AR135" s="1444">
        <v>2.6785714285714284E-2</v>
      </c>
      <c r="AS135" s="1438">
        <f t="shared" si="15"/>
        <v>903360</v>
      </c>
      <c r="AT135" s="1444">
        <f t="shared" si="16"/>
        <v>8.9285714285714281E-3</v>
      </c>
      <c r="AU135" s="1438">
        <v>0</v>
      </c>
      <c r="AV135" s="1444">
        <v>0</v>
      </c>
      <c r="AW135" s="1438">
        <v>0</v>
      </c>
      <c r="AX135" s="1444">
        <v>0</v>
      </c>
      <c r="AZ135" s="1436">
        <v>936704</v>
      </c>
      <c r="BA135" s="1445">
        <v>3.4510859409123774E-2</v>
      </c>
      <c r="BD135" s="42"/>
      <c r="BI135" s="22"/>
      <c r="BJ135" s="58"/>
      <c r="BL135" s="22" t="s">
        <v>86</v>
      </c>
      <c r="BN135" s="44"/>
      <c r="BP135" s="45"/>
      <c r="BQ135" s="46"/>
      <c r="BZ135">
        <v>919320</v>
      </c>
      <c r="CA135">
        <v>919320</v>
      </c>
      <c r="CB135" t="b">
        <f t="shared" si="11"/>
        <v>1</v>
      </c>
    </row>
    <row r="136" spans="1:80" ht="15" customHeight="1" x14ac:dyDescent="0.25">
      <c r="A136" s="22">
        <v>2468</v>
      </c>
      <c r="B136" s="23" t="s">
        <v>366</v>
      </c>
      <c r="C136" s="22" t="s">
        <v>170</v>
      </c>
      <c r="D136" s="23" t="s">
        <v>349</v>
      </c>
      <c r="E136" s="23" t="s">
        <v>349</v>
      </c>
      <c r="F136" s="22" t="s">
        <v>118</v>
      </c>
      <c r="G136" s="22" t="s">
        <v>118</v>
      </c>
      <c r="H136" s="23" t="s">
        <v>355</v>
      </c>
      <c r="I136" s="24" t="s">
        <v>355</v>
      </c>
      <c r="J136" s="1446">
        <v>0</v>
      </c>
      <c r="K136" s="26" t="s">
        <v>81</v>
      </c>
      <c r="L136" s="27">
        <v>2.25</v>
      </c>
      <c r="M136" s="28">
        <v>6</v>
      </c>
      <c r="N136" s="27">
        <f t="shared" ref="N136:N199" si="17">L136*M136</f>
        <v>13.5</v>
      </c>
      <c r="O136" s="27">
        <f t="shared" ref="O136:O199" si="18">N136/$O$6</f>
        <v>2.3776335002177555</v>
      </c>
      <c r="P136" s="28">
        <v>4</v>
      </c>
      <c r="Q136" s="28">
        <v>20</v>
      </c>
      <c r="R136" s="29">
        <f t="shared" si="14"/>
        <v>80</v>
      </c>
      <c r="S136" s="30">
        <v>0.17</v>
      </c>
      <c r="T136" s="30">
        <v>0</v>
      </c>
      <c r="U136" s="1447">
        <v>919320</v>
      </c>
      <c r="V136" s="1448">
        <v>6.2679914569597909E-3</v>
      </c>
      <c r="W136" s="1449">
        <v>902332</v>
      </c>
      <c r="X136" s="1450">
        <v>1.2546701179310984</v>
      </c>
      <c r="Y136" s="1449">
        <v>0</v>
      </c>
      <c r="Z136" s="1450">
        <v>0</v>
      </c>
      <c r="AA136" s="1449">
        <v>902257</v>
      </c>
      <c r="AB136" s="1450">
        <v>6</v>
      </c>
      <c r="AC136" s="1449">
        <v>940045</v>
      </c>
      <c r="AD136" s="1450">
        <v>6</v>
      </c>
      <c r="AE136" s="1449">
        <v>911881</v>
      </c>
      <c r="AF136" s="1450">
        <v>6</v>
      </c>
      <c r="AG136" s="1451"/>
      <c r="AH136" s="1452"/>
      <c r="AI136" s="1449">
        <v>0</v>
      </c>
      <c r="AJ136" s="1450">
        <v>0</v>
      </c>
      <c r="AK136" s="1453">
        <v>0</v>
      </c>
      <c r="AL136" s="1454">
        <v>0</v>
      </c>
      <c r="AM136" s="1449">
        <v>901729</v>
      </c>
      <c r="AN136" s="1455">
        <v>4.1099999999999998E-2</v>
      </c>
      <c r="AO136" s="1449">
        <v>902311</v>
      </c>
      <c r="AP136" s="1455">
        <v>4.3750000000000004E-3</v>
      </c>
      <c r="AQ136" s="1449">
        <v>933089</v>
      </c>
      <c r="AR136" s="1455">
        <v>3.7499999999999999E-2</v>
      </c>
      <c r="AS136" s="1449">
        <f t="shared" si="15"/>
        <v>903360</v>
      </c>
      <c r="AT136" s="1455">
        <f t="shared" si="16"/>
        <v>1.2500000000000001E-2</v>
      </c>
      <c r="AU136" s="1449">
        <v>0</v>
      </c>
      <c r="AV136" s="1455">
        <v>0</v>
      </c>
      <c r="AW136" s="1449">
        <v>0</v>
      </c>
      <c r="AX136" s="1455">
        <v>0</v>
      </c>
      <c r="AZ136" s="1447">
        <v>936704</v>
      </c>
      <c r="BA136" s="1456">
        <v>3.4510859409123774E-2</v>
      </c>
      <c r="BD136" s="42"/>
      <c r="BI136" s="22"/>
      <c r="BJ136" s="58"/>
      <c r="BL136" s="22" t="s">
        <v>91</v>
      </c>
      <c r="BN136" s="44"/>
      <c r="BP136" s="45"/>
      <c r="BQ136" s="46"/>
      <c r="BZ136">
        <v>919320</v>
      </c>
      <c r="CA136">
        <v>919320</v>
      </c>
      <c r="CB136" t="b">
        <f t="shared" si="11"/>
        <v>1</v>
      </c>
    </row>
    <row r="137" spans="1:80" ht="15" customHeight="1" x14ac:dyDescent="0.25">
      <c r="A137" s="22">
        <v>2473</v>
      </c>
      <c r="B137" s="23" t="s">
        <v>367</v>
      </c>
      <c r="C137" s="22" t="s">
        <v>170</v>
      </c>
      <c r="D137" s="23" t="s">
        <v>349</v>
      </c>
      <c r="E137" s="23" t="s">
        <v>349</v>
      </c>
      <c r="F137" s="22" t="s">
        <v>310</v>
      </c>
      <c r="G137" s="22" t="s">
        <v>310</v>
      </c>
      <c r="H137" s="23" t="s">
        <v>350</v>
      </c>
      <c r="I137" s="24" t="s">
        <v>350</v>
      </c>
      <c r="J137" s="1457">
        <v>0</v>
      </c>
      <c r="K137" s="26" t="s">
        <v>81</v>
      </c>
      <c r="L137" s="27">
        <v>0.5</v>
      </c>
      <c r="M137" s="28">
        <v>8</v>
      </c>
      <c r="N137" s="27">
        <f t="shared" si="17"/>
        <v>4</v>
      </c>
      <c r="O137" s="27">
        <f t="shared" si="18"/>
        <v>0.70448400006452017</v>
      </c>
      <c r="P137" s="28">
        <v>6</v>
      </c>
      <c r="Q137" s="28">
        <v>36</v>
      </c>
      <c r="R137" s="29">
        <f t="shared" si="14"/>
        <v>216</v>
      </c>
      <c r="S137" s="30">
        <v>0.17</v>
      </c>
      <c r="T137" s="30">
        <v>0</v>
      </c>
      <c r="U137" s="1458">
        <v>919319</v>
      </c>
      <c r="V137" s="1459">
        <v>1.857225769007545E-3</v>
      </c>
      <c r="W137" s="1460">
        <v>902332</v>
      </c>
      <c r="X137" s="1461">
        <v>0.36811199071387113</v>
      </c>
      <c r="Y137" s="1460">
        <v>0</v>
      </c>
      <c r="Z137" s="1461">
        <v>0</v>
      </c>
      <c r="AA137" s="1460">
        <v>902257</v>
      </c>
      <c r="AB137" s="1461">
        <v>8</v>
      </c>
      <c r="AC137" s="1460">
        <v>919019</v>
      </c>
      <c r="AD137" s="1461">
        <v>8</v>
      </c>
      <c r="AE137" s="1460">
        <v>901569</v>
      </c>
      <c r="AF137" s="1461">
        <v>8</v>
      </c>
      <c r="AG137" s="1462"/>
      <c r="AH137" s="1463"/>
      <c r="AI137" s="1460">
        <v>0</v>
      </c>
      <c r="AJ137" s="1461">
        <v>0</v>
      </c>
      <c r="AK137" s="1464">
        <v>0</v>
      </c>
      <c r="AL137" s="1465">
        <v>0</v>
      </c>
      <c r="AM137" s="1460">
        <v>932436</v>
      </c>
      <c r="AN137" s="1466">
        <v>1.55E-2</v>
      </c>
      <c r="AO137" s="1460">
        <v>902311</v>
      </c>
      <c r="AP137" s="1466">
        <v>2.0833333333333333E-3</v>
      </c>
      <c r="AQ137" s="1460">
        <v>933089</v>
      </c>
      <c r="AR137" s="1466">
        <v>2.3148148148148147E-2</v>
      </c>
      <c r="AS137" s="1460">
        <f t="shared" si="15"/>
        <v>903360</v>
      </c>
      <c r="AT137" s="1466">
        <f t="shared" si="16"/>
        <v>4.6296296296296294E-3</v>
      </c>
      <c r="AU137" s="1460">
        <v>0</v>
      </c>
      <c r="AV137" s="1466">
        <v>0</v>
      </c>
      <c r="AW137" s="1460">
        <v>0</v>
      </c>
      <c r="AX137" s="1466">
        <v>0</v>
      </c>
      <c r="AZ137" s="1458">
        <v>936704</v>
      </c>
      <c r="BA137" s="1467">
        <v>3.4510859409123774E-2</v>
      </c>
      <c r="BD137" s="42"/>
      <c r="BI137" s="22"/>
      <c r="BJ137" s="58"/>
      <c r="BL137" s="22" t="s">
        <v>102</v>
      </c>
      <c r="BN137" s="44"/>
      <c r="BP137" s="45"/>
      <c r="BQ137" s="46"/>
      <c r="BZ137">
        <v>919319</v>
      </c>
      <c r="CA137">
        <v>919319</v>
      </c>
      <c r="CB137" t="b">
        <f t="shared" ref="CB137:CB200" si="19">+BZ137=CA137</f>
        <v>1</v>
      </c>
    </row>
    <row r="138" spans="1:80" ht="15" customHeight="1" x14ac:dyDescent="0.25">
      <c r="A138" s="22">
        <v>2476</v>
      </c>
      <c r="B138" s="23" t="s">
        <v>368</v>
      </c>
      <c r="C138" s="22" t="s">
        <v>170</v>
      </c>
      <c r="D138" s="23" t="s">
        <v>349</v>
      </c>
      <c r="E138" s="23" t="s">
        <v>349</v>
      </c>
      <c r="F138" s="22" t="s">
        <v>255</v>
      </c>
      <c r="G138" s="22" t="s">
        <v>255</v>
      </c>
      <c r="H138" s="23" t="s">
        <v>353</v>
      </c>
      <c r="I138" s="24" t="s">
        <v>353</v>
      </c>
      <c r="J138" s="1468">
        <v>0</v>
      </c>
      <c r="K138" s="26" t="s">
        <v>81</v>
      </c>
      <c r="L138" s="27">
        <v>1.5</v>
      </c>
      <c r="M138" s="28">
        <v>6</v>
      </c>
      <c r="N138" s="27">
        <f t="shared" si="17"/>
        <v>9</v>
      </c>
      <c r="O138" s="27">
        <f t="shared" si="18"/>
        <v>1.5850890001451705</v>
      </c>
      <c r="P138" s="28">
        <v>4</v>
      </c>
      <c r="Q138" s="28">
        <v>28</v>
      </c>
      <c r="R138" s="29">
        <f t="shared" si="14"/>
        <v>112</v>
      </c>
      <c r="S138" s="30">
        <v>0.17</v>
      </c>
      <c r="T138" s="30">
        <v>0</v>
      </c>
      <c r="U138" s="1469">
        <v>919319</v>
      </c>
      <c r="V138" s="1470">
        <v>4.1787579802669769E-3</v>
      </c>
      <c r="W138" s="1471">
        <v>902332</v>
      </c>
      <c r="X138" s="1472">
        <v>0.82825197910620996</v>
      </c>
      <c r="Y138" s="1471">
        <v>0</v>
      </c>
      <c r="Z138" s="1472">
        <v>0</v>
      </c>
      <c r="AA138" s="1471">
        <v>902257</v>
      </c>
      <c r="AB138" s="1472">
        <v>6</v>
      </c>
      <c r="AC138" s="1471">
        <v>919016</v>
      </c>
      <c r="AD138" s="1472">
        <v>6</v>
      </c>
      <c r="AE138" s="1471">
        <v>933429</v>
      </c>
      <c r="AF138" s="1472">
        <v>6</v>
      </c>
      <c r="AG138" s="1473"/>
      <c r="AH138" s="1474"/>
      <c r="AI138" s="1471">
        <v>0</v>
      </c>
      <c r="AJ138" s="1472">
        <v>0</v>
      </c>
      <c r="AK138" s="1475">
        <v>0</v>
      </c>
      <c r="AL138" s="1476">
        <v>0</v>
      </c>
      <c r="AM138" s="1471">
        <v>932438</v>
      </c>
      <c r="AN138" s="1477">
        <v>2.92E-2</v>
      </c>
      <c r="AO138" s="1471">
        <v>902311</v>
      </c>
      <c r="AP138" s="1477">
        <v>4.0178571428571433E-3</v>
      </c>
      <c r="AQ138" s="1471">
        <v>933089</v>
      </c>
      <c r="AR138" s="1477">
        <v>2.6785714285714284E-2</v>
      </c>
      <c r="AS138" s="1471">
        <f t="shared" si="15"/>
        <v>903360</v>
      </c>
      <c r="AT138" s="1477">
        <f t="shared" si="16"/>
        <v>8.9285714285714281E-3</v>
      </c>
      <c r="AU138" s="1471">
        <v>0</v>
      </c>
      <c r="AV138" s="1477">
        <v>0</v>
      </c>
      <c r="AW138" s="1471">
        <v>0</v>
      </c>
      <c r="AX138" s="1477">
        <v>0</v>
      </c>
      <c r="AZ138" s="1469">
        <v>936704</v>
      </c>
      <c r="BA138" s="1478">
        <v>3.4510859409123774E-2</v>
      </c>
      <c r="BD138" s="42"/>
      <c r="BI138" s="22"/>
      <c r="BJ138" s="58"/>
      <c r="BL138" s="22" t="s">
        <v>255</v>
      </c>
      <c r="BN138" s="44"/>
      <c r="BP138" s="45"/>
      <c r="BQ138" s="46"/>
      <c r="BZ138">
        <v>919319</v>
      </c>
      <c r="CA138">
        <v>919319</v>
      </c>
      <c r="CB138" t="b">
        <f t="shared" si="19"/>
        <v>1</v>
      </c>
    </row>
    <row r="139" spans="1:80" ht="15" customHeight="1" x14ac:dyDescent="0.25">
      <c r="A139" s="22">
        <v>2478</v>
      </c>
      <c r="B139" s="23" t="s">
        <v>369</v>
      </c>
      <c r="C139" s="22" t="s">
        <v>170</v>
      </c>
      <c r="D139" s="23" t="s">
        <v>349</v>
      </c>
      <c r="E139" s="23" t="s">
        <v>349</v>
      </c>
      <c r="F139" s="22" t="s">
        <v>118</v>
      </c>
      <c r="G139" s="22" t="s">
        <v>118</v>
      </c>
      <c r="H139" s="23" t="s">
        <v>355</v>
      </c>
      <c r="I139" s="24" t="s">
        <v>355</v>
      </c>
      <c r="J139" s="1479">
        <v>0</v>
      </c>
      <c r="K139" s="26" t="s">
        <v>81</v>
      </c>
      <c r="L139" s="27">
        <v>2.25</v>
      </c>
      <c r="M139" s="28">
        <v>6</v>
      </c>
      <c r="N139" s="27">
        <f t="shared" si="17"/>
        <v>13.5</v>
      </c>
      <c r="O139" s="27">
        <f t="shared" si="18"/>
        <v>2.3776335002177555</v>
      </c>
      <c r="P139" s="28">
        <v>4</v>
      </c>
      <c r="Q139" s="28">
        <v>20</v>
      </c>
      <c r="R139" s="29">
        <f t="shared" si="14"/>
        <v>80</v>
      </c>
      <c r="S139" s="30">
        <v>0.17</v>
      </c>
      <c r="T139" s="30">
        <v>0</v>
      </c>
      <c r="U139" s="1480">
        <v>919319</v>
      </c>
      <c r="V139" s="1481">
        <v>6.2681369704004637E-3</v>
      </c>
      <c r="W139" s="1482">
        <v>902332</v>
      </c>
      <c r="X139" s="1483">
        <v>1.242377968659315</v>
      </c>
      <c r="Y139" s="1482">
        <v>0</v>
      </c>
      <c r="Z139" s="1483">
        <v>0</v>
      </c>
      <c r="AA139" s="1482">
        <v>902257</v>
      </c>
      <c r="AB139" s="1483">
        <v>6</v>
      </c>
      <c r="AC139" s="1482">
        <v>925507</v>
      </c>
      <c r="AD139" s="1483">
        <v>6</v>
      </c>
      <c r="AE139" s="1482">
        <v>911881</v>
      </c>
      <c r="AF139" s="1483">
        <v>6</v>
      </c>
      <c r="AG139" s="1484"/>
      <c r="AH139" s="1485"/>
      <c r="AI139" s="1482">
        <v>0</v>
      </c>
      <c r="AJ139" s="1483">
        <v>0</v>
      </c>
      <c r="AK139" s="1486">
        <v>0</v>
      </c>
      <c r="AL139" s="1487">
        <v>0</v>
      </c>
      <c r="AM139" s="1482">
        <v>901729</v>
      </c>
      <c r="AN139" s="1488">
        <v>4.1099999999999998E-2</v>
      </c>
      <c r="AO139" s="1482">
        <v>902311</v>
      </c>
      <c r="AP139" s="1488">
        <v>4.3750000000000004E-3</v>
      </c>
      <c r="AQ139" s="1482">
        <v>933089</v>
      </c>
      <c r="AR139" s="1488">
        <v>3.7499999999999999E-2</v>
      </c>
      <c r="AS139" s="1482">
        <f t="shared" si="15"/>
        <v>903360</v>
      </c>
      <c r="AT139" s="1488">
        <f t="shared" si="16"/>
        <v>1.2500000000000001E-2</v>
      </c>
      <c r="AU139" s="1482">
        <v>0</v>
      </c>
      <c r="AV139" s="1488">
        <v>0</v>
      </c>
      <c r="AW139" s="1482">
        <v>0</v>
      </c>
      <c r="AX139" s="1488">
        <v>0</v>
      </c>
      <c r="AZ139" s="1480">
        <v>936704</v>
      </c>
      <c r="BA139" s="1489">
        <v>3.4510859409123774E-2</v>
      </c>
      <c r="BD139" s="42"/>
      <c r="BI139" s="22"/>
      <c r="BJ139" s="58"/>
      <c r="BL139" s="22" t="s">
        <v>118</v>
      </c>
      <c r="BN139" s="44"/>
      <c r="BP139" s="45"/>
      <c r="BQ139" s="46"/>
      <c r="BZ139">
        <v>919319</v>
      </c>
      <c r="CA139">
        <v>919319</v>
      </c>
      <c r="CB139" t="b">
        <f t="shared" si="19"/>
        <v>1</v>
      </c>
    </row>
    <row r="140" spans="1:80" ht="15" customHeight="1" x14ac:dyDescent="0.25">
      <c r="A140" s="22">
        <v>2483</v>
      </c>
      <c r="B140" s="23" t="s">
        <v>370</v>
      </c>
      <c r="C140" s="22" t="s">
        <v>170</v>
      </c>
      <c r="D140" s="23" t="s">
        <v>349</v>
      </c>
      <c r="E140" s="23" t="s">
        <v>349</v>
      </c>
      <c r="F140" s="22" t="s">
        <v>310</v>
      </c>
      <c r="G140" s="22" t="s">
        <v>310</v>
      </c>
      <c r="H140" s="23" t="s">
        <v>350</v>
      </c>
      <c r="I140" s="24" t="s">
        <v>350</v>
      </c>
      <c r="J140" s="1490">
        <v>0</v>
      </c>
      <c r="K140" s="26" t="s">
        <v>81</v>
      </c>
      <c r="L140" s="27">
        <v>0.5</v>
      </c>
      <c r="M140" s="28">
        <v>8</v>
      </c>
      <c r="N140" s="27">
        <f t="shared" si="17"/>
        <v>4</v>
      </c>
      <c r="O140" s="27">
        <f t="shared" si="18"/>
        <v>0.70448400006452017</v>
      </c>
      <c r="P140" s="28">
        <v>6</v>
      </c>
      <c r="Q140" s="28">
        <v>36</v>
      </c>
      <c r="R140" s="29">
        <f t="shared" si="14"/>
        <v>216</v>
      </c>
      <c r="S140" s="30">
        <v>0.17</v>
      </c>
      <c r="T140" s="30">
        <v>0</v>
      </c>
      <c r="U140" s="1491">
        <v>938769</v>
      </c>
      <c r="V140" s="1492">
        <v>1.9070321811680572E-3</v>
      </c>
      <c r="W140" s="1493">
        <v>902332</v>
      </c>
      <c r="X140" s="1494">
        <v>0.42188643623361144</v>
      </c>
      <c r="Y140" s="1493">
        <v>0</v>
      </c>
      <c r="Z140" s="1494">
        <v>0</v>
      </c>
      <c r="AA140" s="1493">
        <v>902257</v>
      </c>
      <c r="AB140" s="1494">
        <v>8</v>
      </c>
      <c r="AC140" s="1493">
        <v>919017</v>
      </c>
      <c r="AD140" s="1494">
        <v>8</v>
      </c>
      <c r="AE140" s="1493">
        <v>901569</v>
      </c>
      <c r="AF140" s="1494">
        <v>8</v>
      </c>
      <c r="AG140" s="1495"/>
      <c r="AH140" s="1496"/>
      <c r="AI140" s="1493">
        <v>0</v>
      </c>
      <c r="AJ140" s="1494">
        <v>0</v>
      </c>
      <c r="AK140" s="1497">
        <v>0</v>
      </c>
      <c r="AL140" s="1498">
        <v>0</v>
      </c>
      <c r="AM140" s="1493">
        <v>932435</v>
      </c>
      <c r="AN140" s="1499">
        <v>1.7000000000000001E-2</v>
      </c>
      <c r="AO140" s="1493">
        <v>902311</v>
      </c>
      <c r="AP140" s="1499">
        <v>2.0833333333333333E-3</v>
      </c>
      <c r="AQ140" s="1493">
        <v>933089</v>
      </c>
      <c r="AR140" s="1499">
        <v>2.3148148148148147E-2</v>
      </c>
      <c r="AS140" s="1493">
        <f t="shared" si="15"/>
        <v>903360</v>
      </c>
      <c r="AT140" s="1499">
        <f t="shared" si="16"/>
        <v>4.6296296296296294E-3</v>
      </c>
      <c r="AU140" s="1493">
        <v>0</v>
      </c>
      <c r="AV140" s="1499">
        <v>0</v>
      </c>
      <c r="AW140" s="1493">
        <v>0</v>
      </c>
      <c r="AX140" s="1499">
        <v>0</v>
      </c>
      <c r="AZ140" s="1491">
        <v>936704</v>
      </c>
      <c r="BA140" s="1500">
        <v>3.4510859409123774E-2</v>
      </c>
      <c r="BD140" s="42"/>
      <c r="BI140" s="22"/>
      <c r="BJ140" s="58"/>
      <c r="BL140" s="22" t="s">
        <v>371</v>
      </c>
      <c r="BN140" s="44"/>
      <c r="BP140" s="45"/>
      <c r="BQ140" s="46"/>
      <c r="BZ140">
        <v>938769</v>
      </c>
      <c r="CA140">
        <v>919323</v>
      </c>
      <c r="CB140" t="b">
        <f t="shared" si="19"/>
        <v>0</v>
      </c>
    </row>
    <row r="141" spans="1:80" ht="15" customHeight="1" x14ac:dyDescent="0.25">
      <c r="A141" s="22">
        <v>2486</v>
      </c>
      <c r="B141" s="23" t="s">
        <v>372</v>
      </c>
      <c r="C141" s="22" t="s">
        <v>170</v>
      </c>
      <c r="D141" s="23" t="s">
        <v>349</v>
      </c>
      <c r="E141" s="23" t="s">
        <v>349</v>
      </c>
      <c r="F141" s="22" t="s">
        <v>255</v>
      </c>
      <c r="G141" s="22" t="s">
        <v>255</v>
      </c>
      <c r="H141" s="23" t="s">
        <v>353</v>
      </c>
      <c r="I141" s="24" t="s">
        <v>353</v>
      </c>
      <c r="J141" s="1501">
        <v>0</v>
      </c>
      <c r="K141" s="26" t="s">
        <v>81</v>
      </c>
      <c r="L141" s="27">
        <v>1.5</v>
      </c>
      <c r="M141" s="28">
        <v>6</v>
      </c>
      <c r="N141" s="27">
        <f t="shared" si="17"/>
        <v>9</v>
      </c>
      <c r="O141" s="27">
        <f t="shared" si="18"/>
        <v>1.5850890001451705</v>
      </c>
      <c r="P141" s="28">
        <v>4</v>
      </c>
      <c r="Q141" s="28">
        <v>28</v>
      </c>
      <c r="R141" s="29">
        <f t="shared" si="14"/>
        <v>112</v>
      </c>
      <c r="S141" s="30">
        <v>0.17</v>
      </c>
      <c r="T141" s="30">
        <v>0</v>
      </c>
      <c r="U141" s="1502">
        <v>938769</v>
      </c>
      <c r="V141" s="1503">
        <v>4.2908224076281289E-3</v>
      </c>
      <c r="W141" s="1504">
        <v>902332</v>
      </c>
      <c r="X141" s="1505">
        <v>0.94924448152562579</v>
      </c>
      <c r="Y141" s="1504">
        <v>0</v>
      </c>
      <c r="Z141" s="1505">
        <v>0</v>
      </c>
      <c r="AA141" s="1504">
        <v>902257</v>
      </c>
      <c r="AB141" s="1505">
        <v>6</v>
      </c>
      <c r="AC141" s="1504">
        <v>919014</v>
      </c>
      <c r="AD141" s="1505">
        <v>6</v>
      </c>
      <c r="AE141" s="1504">
        <v>933429</v>
      </c>
      <c r="AF141" s="1505">
        <v>6</v>
      </c>
      <c r="AG141" s="1506"/>
      <c r="AH141" s="1507"/>
      <c r="AI141" s="1504">
        <v>0</v>
      </c>
      <c r="AJ141" s="1505">
        <v>0</v>
      </c>
      <c r="AK141" s="1508">
        <v>0</v>
      </c>
      <c r="AL141" s="1509">
        <v>0</v>
      </c>
      <c r="AM141" s="1504">
        <v>932437</v>
      </c>
      <c r="AN141" s="1510">
        <v>2.9100000000000001E-2</v>
      </c>
      <c r="AO141" s="1504">
        <v>902311</v>
      </c>
      <c r="AP141" s="1510">
        <v>4.0178571428571433E-3</v>
      </c>
      <c r="AQ141" s="1504">
        <v>933089</v>
      </c>
      <c r="AR141" s="1510">
        <v>2.6785714285714284E-2</v>
      </c>
      <c r="AS141" s="1504">
        <f t="shared" si="15"/>
        <v>903360</v>
      </c>
      <c r="AT141" s="1510">
        <f t="shared" si="16"/>
        <v>8.9285714285714281E-3</v>
      </c>
      <c r="AU141" s="1504">
        <v>0</v>
      </c>
      <c r="AV141" s="1510">
        <v>0</v>
      </c>
      <c r="AW141" s="1504">
        <v>0</v>
      </c>
      <c r="AX141" s="1510">
        <v>0</v>
      </c>
      <c r="AZ141" s="1502">
        <v>936704</v>
      </c>
      <c r="BA141" s="1511">
        <v>3.4510859409123774E-2</v>
      </c>
      <c r="BD141" s="42"/>
      <c r="BI141" s="22"/>
      <c r="BJ141" s="58"/>
      <c r="BL141" s="22" t="s">
        <v>255</v>
      </c>
      <c r="BN141" s="44"/>
      <c r="BP141" s="45"/>
      <c r="BQ141" s="46"/>
      <c r="BZ141">
        <v>938769</v>
      </c>
      <c r="CA141">
        <v>919323</v>
      </c>
      <c r="CB141" t="b">
        <f t="shared" si="19"/>
        <v>0</v>
      </c>
    </row>
    <row r="142" spans="1:80" ht="15" customHeight="1" x14ac:dyDescent="0.25">
      <c r="A142" s="22">
        <v>2488</v>
      </c>
      <c r="B142" s="23" t="s">
        <v>373</v>
      </c>
      <c r="C142" s="22" t="s">
        <v>170</v>
      </c>
      <c r="D142" s="23" t="s">
        <v>349</v>
      </c>
      <c r="E142" s="23" t="s">
        <v>349</v>
      </c>
      <c r="F142" s="22" t="s">
        <v>118</v>
      </c>
      <c r="G142" s="22" t="s">
        <v>118</v>
      </c>
      <c r="H142" s="23" t="s">
        <v>355</v>
      </c>
      <c r="I142" s="24" t="s">
        <v>355</v>
      </c>
      <c r="J142" s="1512">
        <v>0</v>
      </c>
      <c r="K142" s="26" t="s">
        <v>81</v>
      </c>
      <c r="L142" s="27">
        <v>2.25</v>
      </c>
      <c r="M142" s="28">
        <v>6</v>
      </c>
      <c r="N142" s="27">
        <f t="shared" si="17"/>
        <v>13.5</v>
      </c>
      <c r="O142" s="27">
        <f t="shared" si="18"/>
        <v>2.3776335002177555</v>
      </c>
      <c r="P142" s="28">
        <v>4</v>
      </c>
      <c r="Q142" s="28">
        <v>20</v>
      </c>
      <c r="R142" s="29">
        <f t="shared" si="14"/>
        <v>80</v>
      </c>
      <c r="S142" s="30">
        <v>0.17</v>
      </c>
      <c r="T142" s="30">
        <v>0</v>
      </c>
      <c r="U142" s="1513">
        <v>938769</v>
      </c>
      <c r="V142" s="1514">
        <v>6.4362336114421933E-3</v>
      </c>
      <c r="W142" s="1515">
        <v>902332</v>
      </c>
      <c r="X142" s="1516">
        <v>1.4238667222884387</v>
      </c>
      <c r="Y142" s="1515">
        <v>0</v>
      </c>
      <c r="Z142" s="1516">
        <v>0</v>
      </c>
      <c r="AA142" s="1515">
        <v>902257</v>
      </c>
      <c r="AB142" s="1516">
        <v>6</v>
      </c>
      <c r="AC142" s="1515">
        <v>925510</v>
      </c>
      <c r="AD142" s="1516">
        <v>6</v>
      </c>
      <c r="AE142" s="1515">
        <v>911881</v>
      </c>
      <c r="AF142" s="1516">
        <v>6</v>
      </c>
      <c r="AG142" s="1517"/>
      <c r="AH142" s="1518"/>
      <c r="AI142" s="1515">
        <v>0</v>
      </c>
      <c r="AJ142" s="1516">
        <v>0</v>
      </c>
      <c r="AK142" s="1519">
        <v>0</v>
      </c>
      <c r="AL142" s="1520">
        <v>0</v>
      </c>
      <c r="AM142" s="1515">
        <v>925698</v>
      </c>
      <c r="AN142" s="1521">
        <v>3.9899999999999998E-2</v>
      </c>
      <c r="AO142" s="1515">
        <v>902311</v>
      </c>
      <c r="AP142" s="1521">
        <v>4.3750000000000004E-3</v>
      </c>
      <c r="AQ142" s="1515">
        <v>933089</v>
      </c>
      <c r="AR142" s="1521">
        <v>3.7499999999999999E-2</v>
      </c>
      <c r="AS142" s="1515">
        <f t="shared" si="15"/>
        <v>903360</v>
      </c>
      <c r="AT142" s="1521">
        <f t="shared" si="16"/>
        <v>1.2500000000000001E-2</v>
      </c>
      <c r="AU142" s="1515">
        <v>0</v>
      </c>
      <c r="AV142" s="1521">
        <v>0</v>
      </c>
      <c r="AW142" s="1515">
        <v>0</v>
      </c>
      <c r="AX142" s="1521">
        <v>0</v>
      </c>
      <c r="AZ142" s="1513">
        <v>936704</v>
      </c>
      <c r="BA142" s="1522">
        <v>3.4510859409123774E-2</v>
      </c>
      <c r="BD142" s="42"/>
      <c r="BI142" s="22"/>
      <c r="BJ142" s="58"/>
      <c r="BL142" s="22" t="s">
        <v>118</v>
      </c>
      <c r="BN142" s="44"/>
      <c r="BP142" s="45"/>
      <c r="BQ142" s="46"/>
      <c r="BZ142">
        <v>938769</v>
      </c>
      <c r="CA142">
        <v>919323</v>
      </c>
      <c r="CB142" t="b">
        <f t="shared" si="19"/>
        <v>0</v>
      </c>
    </row>
    <row r="143" spans="1:80" ht="15" customHeight="1" x14ac:dyDescent="0.25">
      <c r="A143" s="22">
        <v>2494</v>
      </c>
      <c r="B143" s="23" t="s">
        <v>374</v>
      </c>
      <c r="C143" s="22" t="s">
        <v>170</v>
      </c>
      <c r="D143" s="23" t="s">
        <v>349</v>
      </c>
      <c r="E143" s="23" t="s">
        <v>349</v>
      </c>
      <c r="F143" s="22" t="s">
        <v>283</v>
      </c>
      <c r="G143" s="22" t="s">
        <v>283</v>
      </c>
      <c r="H143" s="23" t="s">
        <v>375</v>
      </c>
      <c r="I143" s="24"/>
      <c r="J143" s="1523"/>
      <c r="K143" s="26" t="s">
        <v>94</v>
      </c>
      <c r="L143" s="27">
        <v>0.5</v>
      </c>
      <c r="M143" s="28">
        <v>6</v>
      </c>
      <c r="N143" s="27">
        <f t="shared" si="17"/>
        <v>3</v>
      </c>
      <c r="O143" s="27">
        <f t="shared" si="18"/>
        <v>0.5283630000483901</v>
      </c>
      <c r="P143" s="28">
        <v>6</v>
      </c>
      <c r="Q143" s="28">
        <v>42</v>
      </c>
      <c r="R143" s="29">
        <f t="shared" si="14"/>
        <v>252</v>
      </c>
      <c r="S143" s="30">
        <v>0.17</v>
      </c>
      <c r="T143" s="30">
        <v>0.05</v>
      </c>
      <c r="U143" s="1524"/>
      <c r="V143" s="1525"/>
      <c r="W143" s="1526"/>
      <c r="X143" s="1527">
        <v>0</v>
      </c>
      <c r="Y143" s="1526"/>
      <c r="Z143" s="1527">
        <v>0</v>
      </c>
      <c r="AA143" s="1526"/>
      <c r="AB143" s="1527"/>
      <c r="AC143" s="1526">
        <v>0</v>
      </c>
      <c r="AD143" s="1527">
        <v>0</v>
      </c>
      <c r="AE143" s="1526">
        <v>0</v>
      </c>
      <c r="AF143" s="1527">
        <v>0</v>
      </c>
      <c r="AG143" s="1528"/>
      <c r="AH143" s="1529"/>
      <c r="AI143" s="1526">
        <v>0</v>
      </c>
      <c r="AJ143" s="1527">
        <v>0</v>
      </c>
      <c r="AK143" s="1530">
        <v>0</v>
      </c>
      <c r="AL143" s="1531">
        <v>0</v>
      </c>
      <c r="AM143" s="1526">
        <v>0</v>
      </c>
      <c r="AN143" s="1532">
        <v>0</v>
      </c>
      <c r="AO143" s="1526">
        <v>0</v>
      </c>
      <c r="AP143" s="1532">
        <v>0</v>
      </c>
      <c r="AQ143" s="1526">
        <v>0</v>
      </c>
      <c r="AR143" s="1532">
        <v>0</v>
      </c>
      <c r="AS143" s="1526">
        <v>0</v>
      </c>
      <c r="AT143" s="1532">
        <v>0</v>
      </c>
      <c r="AU143" s="1526">
        <v>0</v>
      </c>
      <c r="AV143" s="1532">
        <v>0</v>
      </c>
      <c r="AW143" s="1526">
        <v>0</v>
      </c>
      <c r="AX143" s="1532">
        <v>0</v>
      </c>
      <c r="AZ143" s="1524"/>
      <c r="BA143" s="1533"/>
      <c r="BD143" s="42"/>
      <c r="BI143" s="22"/>
      <c r="BJ143" s="58"/>
      <c r="BL143" s="22" t="s">
        <v>255</v>
      </c>
      <c r="BN143" s="44"/>
      <c r="BP143" s="45"/>
      <c r="BQ143" s="46"/>
      <c r="CA143">
        <v>0</v>
      </c>
      <c r="CB143" t="b">
        <f t="shared" si="19"/>
        <v>1</v>
      </c>
    </row>
    <row r="144" spans="1:80" ht="15" customHeight="1" x14ac:dyDescent="0.25">
      <c r="A144" s="22">
        <v>2504</v>
      </c>
      <c r="B144" s="23" t="s">
        <v>376</v>
      </c>
      <c r="C144" s="22" t="s">
        <v>170</v>
      </c>
      <c r="D144" s="23" t="s">
        <v>241</v>
      </c>
      <c r="E144" s="23" t="s">
        <v>339</v>
      </c>
      <c r="F144" s="22" t="s">
        <v>283</v>
      </c>
      <c r="G144" s="22" t="s">
        <v>283</v>
      </c>
      <c r="H144" s="23" t="s">
        <v>377</v>
      </c>
      <c r="I144" s="24" t="s">
        <v>378</v>
      </c>
      <c r="J144" s="1534">
        <v>0</v>
      </c>
      <c r="K144" s="26" t="s">
        <v>94</v>
      </c>
      <c r="L144" s="27">
        <v>0.5</v>
      </c>
      <c r="M144" s="28">
        <v>6</v>
      </c>
      <c r="N144" s="27">
        <f t="shared" si="17"/>
        <v>3</v>
      </c>
      <c r="O144" s="27">
        <f t="shared" si="18"/>
        <v>0.5283630000483901</v>
      </c>
      <c r="P144" s="28">
        <v>6</v>
      </c>
      <c r="Q144" s="28">
        <v>42</v>
      </c>
      <c r="R144" s="29">
        <f t="shared" si="14"/>
        <v>252</v>
      </c>
      <c r="S144" s="30">
        <v>0.17</v>
      </c>
      <c r="T144" s="30">
        <v>0.15</v>
      </c>
      <c r="U144" s="1535">
        <v>0</v>
      </c>
      <c r="V144" s="1536">
        <v>0</v>
      </c>
      <c r="W144" s="1537">
        <v>0</v>
      </c>
      <c r="X144" s="1538">
        <v>0</v>
      </c>
      <c r="Y144" s="1537">
        <v>0</v>
      </c>
      <c r="Z144" s="1538">
        <v>0</v>
      </c>
      <c r="AA144" s="1537"/>
      <c r="AB144" s="1538">
        <v>0</v>
      </c>
      <c r="AC144" s="1537">
        <v>0</v>
      </c>
      <c r="AD144" s="1538">
        <v>0</v>
      </c>
      <c r="AE144" s="1537">
        <v>0</v>
      </c>
      <c r="AF144" s="1538">
        <v>0</v>
      </c>
      <c r="AG144" s="1539"/>
      <c r="AH144" s="1540"/>
      <c r="AI144" s="1537">
        <v>0</v>
      </c>
      <c r="AJ144" s="1538">
        <v>0</v>
      </c>
      <c r="AK144" s="1541">
        <v>0</v>
      </c>
      <c r="AL144" s="1542">
        <v>0</v>
      </c>
      <c r="AM144" s="1537">
        <v>0</v>
      </c>
      <c r="AN144" s="1543">
        <v>0</v>
      </c>
      <c r="AO144" s="1537">
        <v>0</v>
      </c>
      <c r="AP144" s="1543">
        <v>0</v>
      </c>
      <c r="AQ144" s="1537">
        <v>0</v>
      </c>
      <c r="AR144" s="1543">
        <v>0</v>
      </c>
      <c r="AS144" s="1537">
        <v>0</v>
      </c>
      <c r="AT144" s="1543">
        <v>0</v>
      </c>
      <c r="AU144" s="1537">
        <v>0</v>
      </c>
      <c r="AV144" s="1543">
        <v>0</v>
      </c>
      <c r="AW144" s="1537">
        <v>0</v>
      </c>
      <c r="AX144" s="1543">
        <v>0</v>
      </c>
      <c r="AZ144" s="1535"/>
      <c r="BA144" s="1544"/>
      <c r="BD144" s="42"/>
      <c r="BI144" s="22"/>
      <c r="BJ144" s="58"/>
      <c r="BL144" s="22" t="s">
        <v>118</v>
      </c>
      <c r="BN144" s="44"/>
      <c r="BP144" s="45"/>
      <c r="BQ144" s="46"/>
      <c r="BZ144">
        <v>0</v>
      </c>
      <c r="CA144">
        <v>0</v>
      </c>
      <c r="CB144" t="b">
        <f t="shared" si="19"/>
        <v>1</v>
      </c>
    </row>
    <row r="145" spans="1:80" ht="15" customHeight="1" x14ac:dyDescent="0.25">
      <c r="A145" s="22">
        <v>2602</v>
      </c>
      <c r="B145" s="23" t="s">
        <v>379</v>
      </c>
      <c r="C145" s="22" t="s">
        <v>170</v>
      </c>
      <c r="D145" s="23" t="s">
        <v>380</v>
      </c>
      <c r="E145" s="23" t="s">
        <v>380</v>
      </c>
      <c r="F145" s="22" t="s">
        <v>283</v>
      </c>
      <c r="G145" s="22" t="s">
        <v>283</v>
      </c>
      <c r="H145" s="23" t="s">
        <v>381</v>
      </c>
      <c r="I145" s="24" t="s">
        <v>381</v>
      </c>
      <c r="J145" s="1545">
        <v>8.6956519999999995E-2</v>
      </c>
      <c r="K145" s="26" t="s">
        <v>94</v>
      </c>
      <c r="L145" s="27">
        <v>0.5</v>
      </c>
      <c r="M145" s="28">
        <v>6</v>
      </c>
      <c r="N145" s="27">
        <f t="shared" si="17"/>
        <v>3</v>
      </c>
      <c r="O145" s="27">
        <f t="shared" si="18"/>
        <v>0.5283630000483901</v>
      </c>
      <c r="P145" s="28">
        <v>7</v>
      </c>
      <c r="Q145" s="28">
        <v>45</v>
      </c>
      <c r="R145" s="29">
        <f t="shared" si="14"/>
        <v>315</v>
      </c>
      <c r="S145" s="30">
        <v>0.22</v>
      </c>
      <c r="T145" s="30">
        <v>0.1</v>
      </c>
      <c r="U145" s="1546"/>
      <c r="V145" s="1547"/>
      <c r="W145" s="1548"/>
      <c r="X145" s="1549">
        <v>0</v>
      </c>
      <c r="Y145" s="1548"/>
      <c r="Z145" s="1549">
        <v>0</v>
      </c>
      <c r="AA145" s="1548"/>
      <c r="AB145" s="1549"/>
      <c r="AC145" s="1548">
        <v>0</v>
      </c>
      <c r="AD145" s="1549">
        <v>0</v>
      </c>
      <c r="AE145" s="1548">
        <v>0</v>
      </c>
      <c r="AF145" s="1549">
        <v>0</v>
      </c>
      <c r="AG145" s="1550"/>
      <c r="AH145" s="1551"/>
      <c r="AI145" s="1548">
        <v>0</v>
      </c>
      <c r="AJ145" s="1549">
        <v>0</v>
      </c>
      <c r="AK145" s="1552">
        <v>0</v>
      </c>
      <c r="AL145" s="1553">
        <v>0</v>
      </c>
      <c r="AM145" s="1548">
        <v>0</v>
      </c>
      <c r="AN145" s="1554">
        <v>0</v>
      </c>
      <c r="AO145" s="1548">
        <v>0</v>
      </c>
      <c r="AP145" s="1554">
        <v>0</v>
      </c>
      <c r="AQ145" s="1548">
        <v>0</v>
      </c>
      <c r="AR145" s="1554">
        <v>0</v>
      </c>
      <c r="AS145" s="1548">
        <v>0</v>
      </c>
      <c r="AT145" s="1554">
        <v>0</v>
      </c>
      <c r="AU145" s="1548">
        <v>0</v>
      </c>
      <c r="AV145" s="1554">
        <v>0</v>
      </c>
      <c r="AW145" s="1548">
        <v>0</v>
      </c>
      <c r="AX145" s="1554">
        <v>0</v>
      </c>
      <c r="AZ145" s="1546"/>
      <c r="BA145" s="1555"/>
      <c r="BD145" s="42"/>
      <c r="BI145" s="22"/>
      <c r="BJ145" s="58"/>
      <c r="BL145" s="22" t="s">
        <v>310</v>
      </c>
      <c r="BN145" s="44"/>
      <c r="BP145" s="45"/>
      <c r="BQ145" s="46"/>
      <c r="CA145">
        <v>0</v>
      </c>
      <c r="CB145" t="b">
        <f t="shared" si="19"/>
        <v>1</v>
      </c>
    </row>
    <row r="146" spans="1:80" ht="15" customHeight="1" x14ac:dyDescent="0.25">
      <c r="A146" s="22">
        <v>2612</v>
      </c>
      <c r="B146" s="23" t="s">
        <v>382</v>
      </c>
      <c r="C146" s="22" t="s">
        <v>170</v>
      </c>
      <c r="D146" s="23" t="s">
        <v>380</v>
      </c>
      <c r="E146" s="23" t="s">
        <v>380</v>
      </c>
      <c r="F146" s="22" t="s">
        <v>283</v>
      </c>
      <c r="G146" s="22" t="s">
        <v>283</v>
      </c>
      <c r="H146" s="23" t="s">
        <v>381</v>
      </c>
      <c r="I146" s="24" t="s">
        <v>381</v>
      </c>
      <c r="J146" s="1556">
        <v>0</v>
      </c>
      <c r="K146" s="26" t="s">
        <v>81</v>
      </c>
      <c r="L146" s="27">
        <v>0.5</v>
      </c>
      <c r="M146" s="28">
        <v>6</v>
      </c>
      <c r="N146" s="27">
        <f t="shared" si="17"/>
        <v>3</v>
      </c>
      <c r="O146" s="27">
        <f t="shared" si="18"/>
        <v>0.5283630000483901</v>
      </c>
      <c r="P146" s="28">
        <v>7</v>
      </c>
      <c r="Q146" s="28">
        <v>45</v>
      </c>
      <c r="R146" s="29">
        <f t="shared" si="14"/>
        <v>315</v>
      </c>
      <c r="S146" s="30">
        <v>0.22</v>
      </c>
      <c r="T146" s="30">
        <v>0</v>
      </c>
      <c r="U146" s="1557">
        <v>939014</v>
      </c>
      <c r="V146" s="1558">
        <v>1.1489850631941786E-3</v>
      </c>
      <c r="W146" s="1559">
        <v>902332</v>
      </c>
      <c r="X146" s="1560">
        <v>0.25727453083109919</v>
      </c>
      <c r="Y146" s="1559"/>
      <c r="Z146" s="1560">
        <v>0</v>
      </c>
      <c r="AA146" s="1559">
        <v>917993</v>
      </c>
      <c r="AB146" s="1560">
        <v>6</v>
      </c>
      <c r="AC146" s="1559">
        <v>938688</v>
      </c>
      <c r="AD146" s="1560">
        <v>6</v>
      </c>
      <c r="AE146" s="1559">
        <v>929270</v>
      </c>
      <c r="AF146" s="1560">
        <v>6</v>
      </c>
      <c r="AG146" s="1561"/>
      <c r="AH146" s="1562"/>
      <c r="AI146" s="1559">
        <v>0</v>
      </c>
      <c r="AJ146" s="1560">
        <v>0</v>
      </c>
      <c r="AK146" s="1563">
        <v>0</v>
      </c>
      <c r="AL146" s="1564">
        <v>0</v>
      </c>
      <c r="AM146" s="1559">
        <v>934139</v>
      </c>
      <c r="AN146" s="1565">
        <v>1.5699999999999999E-2</v>
      </c>
      <c r="AO146" s="1559">
        <v>902311</v>
      </c>
      <c r="AP146" s="1565">
        <v>1.4285000000000001E-3</v>
      </c>
      <c r="AQ146" s="1559">
        <v>933089</v>
      </c>
      <c r="AR146" s="1565">
        <v>1.9047619047619049E-2</v>
      </c>
      <c r="AS146" s="1559">
        <v>903360</v>
      </c>
      <c r="AT146" s="1565">
        <f>1/R146</f>
        <v>3.1746031746031746E-3</v>
      </c>
      <c r="AU146" s="1559">
        <v>0</v>
      </c>
      <c r="AV146" s="1565">
        <v>0</v>
      </c>
      <c r="AW146" s="1559">
        <v>0</v>
      </c>
      <c r="AX146" s="1565">
        <v>0</v>
      </c>
      <c r="AZ146" s="1557"/>
      <c r="BA146" s="1566"/>
      <c r="BD146" s="42"/>
      <c r="BI146" s="22"/>
      <c r="BJ146" s="58"/>
      <c r="BL146" s="22" t="s">
        <v>255</v>
      </c>
      <c r="BN146" s="44"/>
      <c r="BP146" s="45"/>
      <c r="BQ146" s="46"/>
      <c r="BZ146">
        <v>939014</v>
      </c>
      <c r="CA146">
        <v>939014</v>
      </c>
      <c r="CB146" t="b">
        <f t="shared" si="19"/>
        <v>1</v>
      </c>
    </row>
    <row r="147" spans="1:80" ht="15" customHeight="1" x14ac:dyDescent="0.25">
      <c r="A147" s="22">
        <v>2618</v>
      </c>
      <c r="B147" s="23" t="s">
        <v>383</v>
      </c>
      <c r="C147" s="22" t="s">
        <v>170</v>
      </c>
      <c r="D147" s="23" t="s">
        <v>380</v>
      </c>
      <c r="E147" s="23" t="s">
        <v>380</v>
      </c>
      <c r="F147" s="22" t="s">
        <v>333</v>
      </c>
      <c r="G147" s="22" t="s">
        <v>333</v>
      </c>
      <c r="H147" s="23" t="s">
        <v>384</v>
      </c>
      <c r="I147" s="24" t="s">
        <v>384</v>
      </c>
      <c r="J147" s="1567">
        <v>0</v>
      </c>
      <c r="K147" s="26" t="s">
        <v>81</v>
      </c>
      <c r="L147" s="27">
        <v>0.995</v>
      </c>
      <c r="M147" s="28">
        <v>6</v>
      </c>
      <c r="N147" s="27">
        <f t="shared" si="17"/>
        <v>5.97</v>
      </c>
      <c r="O147" s="27">
        <f t="shared" si="18"/>
        <v>1.0514423700962963</v>
      </c>
      <c r="P147" s="28">
        <v>5</v>
      </c>
      <c r="Q147" s="28">
        <v>28</v>
      </c>
      <c r="R147" s="29">
        <f t="shared" si="14"/>
        <v>140</v>
      </c>
      <c r="S147" s="30">
        <v>0.22</v>
      </c>
      <c r="T147" s="30">
        <v>0.1</v>
      </c>
      <c r="U147" s="1568"/>
      <c r="V147" s="1569"/>
      <c r="W147" s="1570"/>
      <c r="X147" s="1571">
        <v>0</v>
      </c>
      <c r="Y147" s="1570"/>
      <c r="Z147" s="1571">
        <v>0</v>
      </c>
      <c r="AA147" s="1570"/>
      <c r="AB147" s="1571"/>
      <c r="AC147" s="1570">
        <v>0</v>
      </c>
      <c r="AD147" s="1571">
        <v>0</v>
      </c>
      <c r="AE147" s="1570">
        <v>0</v>
      </c>
      <c r="AF147" s="1571">
        <v>0</v>
      </c>
      <c r="AG147" s="1572"/>
      <c r="AH147" s="1573"/>
      <c r="AI147" s="1570">
        <v>0</v>
      </c>
      <c r="AJ147" s="1571">
        <v>0</v>
      </c>
      <c r="AK147" s="1574">
        <v>0</v>
      </c>
      <c r="AL147" s="1575">
        <v>0</v>
      </c>
      <c r="AM147" s="1570">
        <v>0</v>
      </c>
      <c r="AN147" s="1576">
        <v>0</v>
      </c>
      <c r="AO147" s="1570">
        <v>0</v>
      </c>
      <c r="AP147" s="1576">
        <v>0</v>
      </c>
      <c r="AQ147" s="1570">
        <v>0</v>
      </c>
      <c r="AR147" s="1576">
        <v>0</v>
      </c>
      <c r="AS147" s="1570">
        <v>0</v>
      </c>
      <c r="AT147" s="1576">
        <v>0</v>
      </c>
      <c r="AU147" s="1570">
        <v>0</v>
      </c>
      <c r="AV147" s="1576">
        <v>0</v>
      </c>
      <c r="AW147" s="1570">
        <v>0</v>
      </c>
      <c r="AX147" s="1576">
        <v>0</v>
      </c>
      <c r="AZ147" s="1568"/>
      <c r="BA147" s="1577"/>
      <c r="BD147" s="42"/>
      <c r="BI147" s="22"/>
      <c r="BJ147" s="58"/>
      <c r="BL147" s="22"/>
      <c r="BN147" s="44"/>
      <c r="BP147" s="45"/>
      <c r="BQ147" s="46"/>
      <c r="CA147">
        <v>0</v>
      </c>
      <c r="CB147" t="b">
        <f t="shared" si="19"/>
        <v>1</v>
      </c>
    </row>
    <row r="148" spans="1:80" ht="15" customHeight="1" x14ac:dyDescent="0.25">
      <c r="A148" s="22">
        <v>2622</v>
      </c>
      <c r="B148" s="23" t="s">
        <v>385</v>
      </c>
      <c r="C148" s="22" t="s">
        <v>170</v>
      </c>
      <c r="D148" s="23" t="s">
        <v>380</v>
      </c>
      <c r="E148" s="23" t="s">
        <v>380</v>
      </c>
      <c r="F148" s="22" t="s">
        <v>283</v>
      </c>
      <c r="G148" s="22" t="s">
        <v>283</v>
      </c>
      <c r="H148" s="23" t="s">
        <v>381</v>
      </c>
      <c r="I148" s="24" t="s">
        <v>381</v>
      </c>
      <c r="J148" s="1578">
        <v>8.6956519999999995E-2</v>
      </c>
      <c r="K148" s="26" t="s">
        <v>94</v>
      </c>
      <c r="L148" s="27">
        <v>0.5</v>
      </c>
      <c r="M148" s="28">
        <v>6</v>
      </c>
      <c r="N148" s="27">
        <f t="shared" si="17"/>
        <v>3</v>
      </c>
      <c r="O148" s="27">
        <f t="shared" si="18"/>
        <v>0.5283630000483901</v>
      </c>
      <c r="P148" s="28">
        <v>7</v>
      </c>
      <c r="Q148" s="28">
        <v>45</v>
      </c>
      <c r="R148" s="29">
        <f t="shared" si="14"/>
        <v>315</v>
      </c>
      <c r="S148" s="30">
        <v>0.22</v>
      </c>
      <c r="T148" s="30">
        <v>0.1</v>
      </c>
      <c r="U148" s="1579"/>
      <c r="V148" s="1580"/>
      <c r="W148" s="1581"/>
      <c r="X148" s="1582">
        <v>0</v>
      </c>
      <c r="Y148" s="1581"/>
      <c r="Z148" s="1582">
        <v>0</v>
      </c>
      <c r="AA148" s="1581"/>
      <c r="AB148" s="1582"/>
      <c r="AC148" s="1581">
        <v>0</v>
      </c>
      <c r="AD148" s="1582">
        <v>0</v>
      </c>
      <c r="AE148" s="1581">
        <v>0</v>
      </c>
      <c r="AF148" s="1582">
        <v>0</v>
      </c>
      <c r="AG148" s="1583"/>
      <c r="AH148" s="1584"/>
      <c r="AI148" s="1581">
        <v>0</v>
      </c>
      <c r="AJ148" s="1582">
        <v>0</v>
      </c>
      <c r="AK148" s="1585">
        <v>0</v>
      </c>
      <c r="AL148" s="1586">
        <v>0</v>
      </c>
      <c r="AM148" s="1581">
        <v>0</v>
      </c>
      <c r="AN148" s="1587">
        <v>0</v>
      </c>
      <c r="AO148" s="1581">
        <v>0</v>
      </c>
      <c r="AP148" s="1587">
        <v>0</v>
      </c>
      <c r="AQ148" s="1581">
        <v>0</v>
      </c>
      <c r="AR148" s="1587">
        <v>0</v>
      </c>
      <c r="AS148" s="1581">
        <v>0</v>
      </c>
      <c r="AT148" s="1587">
        <v>0</v>
      </c>
      <c r="AU148" s="1581">
        <v>0</v>
      </c>
      <c r="AV148" s="1587">
        <v>0</v>
      </c>
      <c r="AW148" s="1581">
        <v>0</v>
      </c>
      <c r="AX148" s="1587">
        <v>0</v>
      </c>
      <c r="AZ148" s="1579"/>
      <c r="BA148" s="1588"/>
      <c r="BD148" s="42"/>
      <c r="BI148" s="22"/>
      <c r="BJ148" s="58"/>
      <c r="BL148" s="22" t="s">
        <v>118</v>
      </c>
      <c r="BN148" s="44"/>
      <c r="BP148" s="45"/>
      <c r="BQ148" s="46"/>
      <c r="CA148">
        <v>0</v>
      </c>
      <c r="CB148" t="b">
        <f t="shared" si="19"/>
        <v>1</v>
      </c>
    </row>
    <row r="149" spans="1:80" ht="15" customHeight="1" x14ac:dyDescent="0.25">
      <c r="A149" s="22">
        <v>2642</v>
      </c>
      <c r="B149" s="23" t="s">
        <v>386</v>
      </c>
      <c r="C149" s="22" t="s">
        <v>170</v>
      </c>
      <c r="D149" s="23" t="s">
        <v>380</v>
      </c>
      <c r="E149" s="23" t="s">
        <v>380</v>
      </c>
      <c r="F149" s="22" t="s">
        <v>283</v>
      </c>
      <c r="G149" s="22" t="s">
        <v>283</v>
      </c>
      <c r="H149" s="23" t="s">
        <v>381</v>
      </c>
      <c r="I149" s="24" t="s">
        <v>381</v>
      </c>
      <c r="J149" s="1589">
        <v>0</v>
      </c>
      <c r="K149" s="26" t="s">
        <v>81</v>
      </c>
      <c r="L149" s="27">
        <v>0.5</v>
      </c>
      <c r="M149" s="28">
        <v>6</v>
      </c>
      <c r="N149" s="27">
        <f t="shared" si="17"/>
        <v>3</v>
      </c>
      <c r="O149" s="27">
        <f t="shared" si="18"/>
        <v>0.5283630000483901</v>
      </c>
      <c r="P149" s="28">
        <v>7</v>
      </c>
      <c r="Q149" s="28">
        <v>45</v>
      </c>
      <c r="R149" s="29">
        <f t="shared" si="14"/>
        <v>315</v>
      </c>
      <c r="S149" s="30">
        <v>0.22</v>
      </c>
      <c r="T149" s="30">
        <v>0</v>
      </c>
      <c r="U149" s="1590">
        <v>929228</v>
      </c>
      <c r="V149" s="1591">
        <v>1.5E-3</v>
      </c>
      <c r="W149" s="1592">
        <v>902332</v>
      </c>
      <c r="X149" s="1593">
        <v>0.24661949999999999</v>
      </c>
      <c r="Y149" s="1592">
        <v>0</v>
      </c>
      <c r="Z149" s="1593">
        <v>0</v>
      </c>
      <c r="AA149" s="1592">
        <v>917993</v>
      </c>
      <c r="AB149" s="1593">
        <v>6</v>
      </c>
      <c r="AC149" s="1592">
        <v>929258</v>
      </c>
      <c r="AD149" s="1593">
        <v>6</v>
      </c>
      <c r="AE149" s="1592">
        <v>929270</v>
      </c>
      <c r="AF149" s="1593">
        <v>6</v>
      </c>
      <c r="AG149" s="1594"/>
      <c r="AH149" s="1595"/>
      <c r="AI149" s="1592">
        <v>0</v>
      </c>
      <c r="AJ149" s="1593">
        <v>0</v>
      </c>
      <c r="AK149" s="1596">
        <v>0</v>
      </c>
      <c r="AL149" s="1597">
        <v>0</v>
      </c>
      <c r="AM149" s="1592">
        <v>934139</v>
      </c>
      <c r="AN149" s="1598">
        <v>1.5699999999999999E-2</v>
      </c>
      <c r="AO149" s="1592">
        <v>902311</v>
      </c>
      <c r="AP149" s="1598">
        <v>1.4285000000000001E-3</v>
      </c>
      <c r="AQ149" s="1592">
        <v>933089</v>
      </c>
      <c r="AR149" s="1598">
        <v>1.9047619047619049E-2</v>
      </c>
      <c r="AS149" s="1592">
        <f t="shared" ref="AS149:AS159" si="20">IF(K149="P",903360,0)</f>
        <v>903360</v>
      </c>
      <c r="AT149" s="1598">
        <f t="shared" ref="AT149:AT159" si="21">1/R149</f>
        <v>3.1746031746031746E-3</v>
      </c>
      <c r="AU149" s="1592">
        <v>0</v>
      </c>
      <c r="AV149" s="1598">
        <v>0</v>
      </c>
      <c r="AW149" s="1592">
        <v>0</v>
      </c>
      <c r="AX149" s="1598">
        <v>0</v>
      </c>
      <c r="AZ149" s="1590"/>
      <c r="BA149" s="1599"/>
      <c r="BD149" s="42"/>
      <c r="BI149" s="22"/>
      <c r="BJ149" s="58"/>
      <c r="BL149" s="22" t="s">
        <v>113</v>
      </c>
      <c r="BN149" s="44"/>
      <c r="BP149" s="45"/>
      <c r="BQ149" s="46"/>
      <c r="BZ149">
        <v>929228</v>
      </c>
      <c r="CA149">
        <v>929228</v>
      </c>
      <c r="CB149" t="b">
        <f t="shared" si="19"/>
        <v>1</v>
      </c>
    </row>
    <row r="150" spans="1:80" ht="15" customHeight="1" x14ac:dyDescent="0.25">
      <c r="A150" s="22">
        <v>2648</v>
      </c>
      <c r="B150" s="23" t="s">
        <v>387</v>
      </c>
      <c r="C150" s="22" t="s">
        <v>170</v>
      </c>
      <c r="D150" s="23" t="s">
        <v>380</v>
      </c>
      <c r="E150" s="23" t="s">
        <v>380</v>
      </c>
      <c r="F150" s="22" t="s">
        <v>333</v>
      </c>
      <c r="G150" s="22" t="s">
        <v>333</v>
      </c>
      <c r="H150" s="23" t="s">
        <v>384</v>
      </c>
      <c r="I150" s="24" t="s">
        <v>384</v>
      </c>
      <c r="J150" s="1600">
        <v>0</v>
      </c>
      <c r="K150" s="26" t="s">
        <v>81</v>
      </c>
      <c r="L150" s="27">
        <v>0.995</v>
      </c>
      <c r="M150" s="28">
        <v>6</v>
      </c>
      <c r="N150" s="27">
        <f t="shared" si="17"/>
        <v>5.97</v>
      </c>
      <c r="O150" s="27">
        <f t="shared" si="18"/>
        <v>1.0514423700962963</v>
      </c>
      <c r="P150" s="28">
        <v>5</v>
      </c>
      <c r="Q150" s="28">
        <v>28</v>
      </c>
      <c r="R150" s="29">
        <f t="shared" si="14"/>
        <v>140</v>
      </c>
      <c r="S150" s="30">
        <v>0.22</v>
      </c>
      <c r="T150" s="30">
        <v>0.1</v>
      </c>
      <c r="U150" s="1601">
        <v>929228</v>
      </c>
      <c r="V150" s="1602">
        <v>2.9849999999999998E-3</v>
      </c>
      <c r="W150" s="1603">
        <v>902332</v>
      </c>
      <c r="X150" s="1604">
        <v>0.49077280499999998</v>
      </c>
      <c r="Y150" s="1603">
        <v>0</v>
      </c>
      <c r="Z150" s="1604">
        <v>0</v>
      </c>
      <c r="AA150" s="1603">
        <v>917993</v>
      </c>
      <c r="AB150" s="1604">
        <v>6</v>
      </c>
      <c r="AC150" s="1603">
        <v>938125</v>
      </c>
      <c r="AD150" s="1604">
        <v>6</v>
      </c>
      <c r="AE150" s="1603">
        <v>929272</v>
      </c>
      <c r="AF150" s="1604">
        <v>6</v>
      </c>
      <c r="AG150" s="1605"/>
      <c r="AH150" s="1606"/>
      <c r="AI150" s="1603">
        <v>0</v>
      </c>
      <c r="AJ150" s="1604">
        <v>0</v>
      </c>
      <c r="AK150" s="1607">
        <v>0</v>
      </c>
      <c r="AL150" s="1608">
        <v>0</v>
      </c>
      <c r="AM150" s="1603">
        <v>922605</v>
      </c>
      <c r="AN150" s="1609">
        <v>0.02</v>
      </c>
      <c r="AO150" s="1603">
        <v>902311</v>
      </c>
      <c r="AP150" s="1610">
        <v>1.4285000000000001E-3</v>
      </c>
      <c r="AQ150" s="1603">
        <v>902302</v>
      </c>
      <c r="AR150" s="1610">
        <v>2.8571428571428571E-2</v>
      </c>
      <c r="AS150" s="1603">
        <f t="shared" si="20"/>
        <v>903360</v>
      </c>
      <c r="AT150" s="1610">
        <f t="shared" si="21"/>
        <v>7.1428571428571426E-3</v>
      </c>
      <c r="AU150" s="1603">
        <v>0</v>
      </c>
      <c r="AV150" s="1610">
        <v>0</v>
      </c>
      <c r="AW150" s="1603">
        <v>0</v>
      </c>
      <c r="AX150" s="1610">
        <v>0</v>
      </c>
      <c r="AZ150" s="1601"/>
      <c r="BA150" s="1611"/>
      <c r="BD150" s="42"/>
      <c r="BI150" s="22"/>
      <c r="BJ150" s="58"/>
      <c r="BL150" s="22" t="s">
        <v>358</v>
      </c>
      <c r="BN150" s="44"/>
      <c r="BP150" s="45"/>
      <c r="BQ150" s="46"/>
      <c r="BZ150">
        <v>929228</v>
      </c>
      <c r="CA150">
        <v>929228</v>
      </c>
      <c r="CB150" t="b">
        <f t="shared" si="19"/>
        <v>1</v>
      </c>
    </row>
    <row r="151" spans="1:80" ht="15" customHeight="1" x14ac:dyDescent="0.25">
      <c r="A151" s="22">
        <v>2659</v>
      </c>
      <c r="B151" s="23" t="s">
        <v>388</v>
      </c>
      <c r="C151" s="22" t="s">
        <v>76</v>
      </c>
      <c r="D151" s="23" t="s">
        <v>345</v>
      </c>
      <c r="E151" s="23" t="s">
        <v>187</v>
      </c>
      <c r="F151" s="22" t="s">
        <v>346</v>
      </c>
      <c r="G151" s="22" t="s">
        <v>118</v>
      </c>
      <c r="H151" s="23" t="s">
        <v>347</v>
      </c>
      <c r="I151" s="24" t="s">
        <v>347</v>
      </c>
      <c r="J151" s="1612">
        <v>4.1666670000000003E-2</v>
      </c>
      <c r="K151" s="26" t="s">
        <v>81</v>
      </c>
      <c r="L151" s="27">
        <v>2.25</v>
      </c>
      <c r="M151" s="28">
        <v>6</v>
      </c>
      <c r="N151" s="27">
        <f t="shared" si="17"/>
        <v>13.5</v>
      </c>
      <c r="O151" s="27">
        <f t="shared" si="18"/>
        <v>2.3776335002177555</v>
      </c>
      <c r="P151" s="28">
        <v>4</v>
      </c>
      <c r="Q151" s="28">
        <v>20</v>
      </c>
      <c r="R151" s="29">
        <f t="shared" si="14"/>
        <v>80</v>
      </c>
      <c r="S151" s="30">
        <v>0.19900000000000001</v>
      </c>
      <c r="T151" s="30">
        <v>0</v>
      </c>
      <c r="U151" s="1613">
        <v>901770</v>
      </c>
      <c r="V151" s="1614">
        <v>6.7499999999999991E-3</v>
      </c>
      <c r="W151" s="1615">
        <v>0</v>
      </c>
      <c r="X151" s="1616">
        <v>0</v>
      </c>
      <c r="Y151" s="1615">
        <v>902338</v>
      </c>
      <c r="Z151" s="1616">
        <v>0.10959299999999998</v>
      </c>
      <c r="AA151" s="1615">
        <v>901767</v>
      </c>
      <c r="AB151" s="1616">
        <v>6</v>
      </c>
      <c r="AC151" s="1615">
        <v>909143</v>
      </c>
      <c r="AD151" s="1616">
        <v>6</v>
      </c>
      <c r="AE151" s="1615">
        <v>911423</v>
      </c>
      <c r="AF151" s="1616">
        <v>6</v>
      </c>
      <c r="AG151" s="1617"/>
      <c r="AH151" s="1618"/>
      <c r="AI151" s="1615">
        <v>0</v>
      </c>
      <c r="AJ151" s="1616">
        <v>0</v>
      </c>
      <c r="AK151" s="1619">
        <v>0</v>
      </c>
      <c r="AL151" s="1620">
        <v>0</v>
      </c>
      <c r="AM151" s="1615">
        <v>932442</v>
      </c>
      <c r="AN151" s="1621">
        <v>2.7699999999999999E-2</v>
      </c>
      <c r="AO151" s="1615">
        <v>902311</v>
      </c>
      <c r="AP151" s="1621">
        <v>4.3750000000000004E-3</v>
      </c>
      <c r="AQ151" s="1615">
        <v>933089</v>
      </c>
      <c r="AR151" s="1621">
        <v>3.7499999999999999E-2</v>
      </c>
      <c r="AS151" s="1615">
        <f t="shared" si="20"/>
        <v>903360</v>
      </c>
      <c r="AT151" s="1621">
        <f t="shared" si="21"/>
        <v>1.2500000000000001E-2</v>
      </c>
      <c r="AU151" s="1615">
        <v>0</v>
      </c>
      <c r="AV151" s="1621">
        <v>0</v>
      </c>
      <c r="AW151" s="1615">
        <v>0</v>
      </c>
      <c r="AX151" s="1621">
        <v>0</v>
      </c>
      <c r="AZ151" s="1613"/>
      <c r="BA151" s="1622"/>
      <c r="BD151" s="42"/>
      <c r="BI151" s="22"/>
      <c r="BJ151" s="58"/>
      <c r="BL151" s="22" t="s">
        <v>79</v>
      </c>
      <c r="BN151" s="44"/>
      <c r="BP151" s="45"/>
      <c r="BQ151" s="46"/>
      <c r="BZ151">
        <v>901770</v>
      </c>
      <c r="CA151">
        <v>901770</v>
      </c>
      <c r="CB151" t="b">
        <f t="shared" si="19"/>
        <v>1</v>
      </c>
    </row>
    <row r="152" spans="1:80" ht="15" customHeight="1" x14ac:dyDescent="0.25">
      <c r="A152" s="22">
        <v>2662</v>
      </c>
      <c r="B152" s="23" t="s">
        <v>389</v>
      </c>
      <c r="C152" s="22" t="s">
        <v>170</v>
      </c>
      <c r="D152" s="23" t="s">
        <v>380</v>
      </c>
      <c r="E152" s="23" t="s">
        <v>380</v>
      </c>
      <c r="F152" s="22" t="s">
        <v>283</v>
      </c>
      <c r="G152" s="22" t="s">
        <v>283</v>
      </c>
      <c r="H152" s="23" t="s">
        <v>381</v>
      </c>
      <c r="I152" s="24" t="s">
        <v>381</v>
      </c>
      <c r="J152" s="1623">
        <v>0</v>
      </c>
      <c r="K152" s="26" t="s">
        <v>81</v>
      </c>
      <c r="L152" s="27">
        <v>0.5</v>
      </c>
      <c r="M152" s="28">
        <v>6</v>
      </c>
      <c r="N152" s="27">
        <f t="shared" si="17"/>
        <v>3</v>
      </c>
      <c r="O152" s="27">
        <f t="shared" si="18"/>
        <v>0.5283630000483901</v>
      </c>
      <c r="P152" s="28">
        <v>7</v>
      </c>
      <c r="Q152" s="28">
        <v>45</v>
      </c>
      <c r="R152" s="29">
        <f t="shared" si="14"/>
        <v>315</v>
      </c>
      <c r="S152" s="30">
        <v>0.22</v>
      </c>
      <c r="T152" s="30">
        <v>0</v>
      </c>
      <c r="U152" s="1624">
        <v>929226</v>
      </c>
      <c r="V152" s="1625">
        <v>1.5E-3</v>
      </c>
      <c r="W152" s="1626">
        <v>902332</v>
      </c>
      <c r="X152" s="1627">
        <v>0.24661949999999999</v>
      </c>
      <c r="Y152" s="1626">
        <v>0</v>
      </c>
      <c r="Z152" s="1627">
        <v>0</v>
      </c>
      <c r="AA152" s="1626">
        <v>917993</v>
      </c>
      <c r="AB152" s="1627">
        <v>6</v>
      </c>
      <c r="AC152" s="1626">
        <v>929260</v>
      </c>
      <c r="AD152" s="1627">
        <v>6</v>
      </c>
      <c r="AE152" s="1626">
        <v>929270</v>
      </c>
      <c r="AF152" s="1627">
        <v>6</v>
      </c>
      <c r="AG152" s="1628"/>
      <c r="AH152" s="1629"/>
      <c r="AI152" s="1626">
        <v>0</v>
      </c>
      <c r="AJ152" s="1627">
        <v>0</v>
      </c>
      <c r="AK152" s="1630">
        <v>0</v>
      </c>
      <c r="AL152" s="1631">
        <v>0</v>
      </c>
      <c r="AM152" s="1626">
        <v>934139</v>
      </c>
      <c r="AN152" s="1632">
        <v>1.5699999999999999E-2</v>
      </c>
      <c r="AO152" s="1626">
        <v>902311</v>
      </c>
      <c r="AP152" s="1632">
        <v>1.4285000000000001E-3</v>
      </c>
      <c r="AQ152" s="1626">
        <v>933089</v>
      </c>
      <c r="AR152" s="1632">
        <v>1.9047619047619049E-2</v>
      </c>
      <c r="AS152" s="1626">
        <f t="shared" si="20"/>
        <v>903360</v>
      </c>
      <c r="AT152" s="1632">
        <f t="shared" si="21"/>
        <v>3.1746031746031746E-3</v>
      </c>
      <c r="AU152" s="1626">
        <v>0</v>
      </c>
      <c r="AV152" s="1632">
        <v>0</v>
      </c>
      <c r="AW152" s="1626">
        <v>0</v>
      </c>
      <c r="AX152" s="1632">
        <v>0</v>
      </c>
      <c r="AZ152" s="1624"/>
      <c r="BA152" s="1633"/>
      <c r="BD152" s="42"/>
      <c r="BI152" s="22"/>
      <c r="BJ152" s="58"/>
      <c r="BL152" s="22" t="s">
        <v>79</v>
      </c>
      <c r="BN152" s="44"/>
      <c r="BP152" s="45"/>
      <c r="BQ152" s="46"/>
      <c r="BZ152">
        <v>929226</v>
      </c>
      <c r="CA152">
        <v>929226</v>
      </c>
      <c r="CB152" t="b">
        <f t="shared" si="19"/>
        <v>1</v>
      </c>
    </row>
    <row r="153" spans="1:80" ht="15" customHeight="1" x14ac:dyDescent="0.25">
      <c r="A153" s="22">
        <v>2668</v>
      </c>
      <c r="B153" s="23" t="s">
        <v>390</v>
      </c>
      <c r="C153" s="22" t="s">
        <v>170</v>
      </c>
      <c r="D153" s="23" t="s">
        <v>380</v>
      </c>
      <c r="E153" s="23" t="s">
        <v>380</v>
      </c>
      <c r="F153" s="22" t="s">
        <v>333</v>
      </c>
      <c r="G153" s="22" t="s">
        <v>333</v>
      </c>
      <c r="H153" s="23" t="s">
        <v>384</v>
      </c>
      <c r="I153" s="24" t="s">
        <v>384</v>
      </c>
      <c r="J153" s="1634">
        <v>0</v>
      </c>
      <c r="K153" s="26" t="s">
        <v>81</v>
      </c>
      <c r="L153" s="27">
        <v>0.995</v>
      </c>
      <c r="M153" s="28">
        <v>6</v>
      </c>
      <c r="N153" s="27">
        <f t="shared" si="17"/>
        <v>5.97</v>
      </c>
      <c r="O153" s="27">
        <f t="shared" si="18"/>
        <v>1.0514423700962963</v>
      </c>
      <c r="P153" s="28">
        <v>5</v>
      </c>
      <c r="Q153" s="28">
        <v>28</v>
      </c>
      <c r="R153" s="29">
        <f t="shared" si="14"/>
        <v>140</v>
      </c>
      <c r="S153" s="30">
        <v>0.22</v>
      </c>
      <c r="T153" s="30">
        <v>0.1</v>
      </c>
      <c r="U153" s="1635">
        <v>929226</v>
      </c>
      <c r="V153" s="1636">
        <v>2.9849999999999998E-3</v>
      </c>
      <c r="W153" s="1637">
        <v>902332</v>
      </c>
      <c r="X153" s="1638">
        <v>0.49077280499999998</v>
      </c>
      <c r="Y153" s="1637"/>
      <c r="Z153" s="1638">
        <v>0</v>
      </c>
      <c r="AA153" s="1637">
        <v>917993</v>
      </c>
      <c r="AB153" s="1638">
        <v>6</v>
      </c>
      <c r="AC153" s="1637">
        <v>940684</v>
      </c>
      <c r="AD153" s="1638">
        <v>6</v>
      </c>
      <c r="AE153" s="1637">
        <v>929272</v>
      </c>
      <c r="AF153" s="1638">
        <v>6</v>
      </c>
      <c r="AG153" s="1639"/>
      <c r="AH153" s="1640"/>
      <c r="AI153" s="1637">
        <v>0</v>
      </c>
      <c r="AJ153" s="1638">
        <v>0</v>
      </c>
      <c r="AK153" s="1641">
        <v>0</v>
      </c>
      <c r="AL153" s="1642">
        <v>0</v>
      </c>
      <c r="AM153" s="1637">
        <v>922605</v>
      </c>
      <c r="AN153" s="1643">
        <v>0.02</v>
      </c>
      <c r="AO153" s="1637">
        <v>902311</v>
      </c>
      <c r="AP153" s="1644">
        <v>1.4285000000000001E-3</v>
      </c>
      <c r="AQ153" s="1637">
        <v>902302</v>
      </c>
      <c r="AR153" s="1644">
        <v>2.8571428571428571E-2</v>
      </c>
      <c r="AS153" s="1637">
        <f t="shared" si="20"/>
        <v>903360</v>
      </c>
      <c r="AT153" s="1644">
        <f t="shared" si="21"/>
        <v>7.1428571428571426E-3</v>
      </c>
      <c r="AU153" s="1637">
        <v>0</v>
      </c>
      <c r="AV153" s="1644">
        <v>0</v>
      </c>
      <c r="AW153" s="1637">
        <v>0</v>
      </c>
      <c r="AX153" s="1644">
        <v>0</v>
      </c>
      <c r="AZ153" s="1635"/>
      <c r="BA153" s="1645"/>
      <c r="BD153" s="42"/>
      <c r="BI153" s="22"/>
      <c r="BJ153" s="58"/>
      <c r="BL153" s="22"/>
      <c r="BN153" s="44"/>
      <c r="BP153" s="45"/>
      <c r="BQ153" s="46"/>
      <c r="BZ153">
        <v>929226</v>
      </c>
      <c r="CA153">
        <v>929226</v>
      </c>
      <c r="CB153" t="b">
        <f t="shared" si="19"/>
        <v>1</v>
      </c>
    </row>
    <row r="154" spans="1:80" ht="15" customHeight="1" x14ac:dyDescent="0.25">
      <c r="A154" s="22">
        <v>2672</v>
      </c>
      <c r="B154" s="23" t="s">
        <v>391</v>
      </c>
      <c r="C154" s="22" t="s">
        <v>170</v>
      </c>
      <c r="D154" s="23" t="s">
        <v>380</v>
      </c>
      <c r="E154" s="23" t="s">
        <v>380</v>
      </c>
      <c r="F154" s="22" t="s">
        <v>283</v>
      </c>
      <c r="G154" s="22" t="s">
        <v>283</v>
      </c>
      <c r="H154" s="23" t="s">
        <v>381</v>
      </c>
      <c r="I154" s="24" t="s">
        <v>381</v>
      </c>
      <c r="J154" s="1646">
        <v>0</v>
      </c>
      <c r="K154" s="26" t="s">
        <v>81</v>
      </c>
      <c r="L154" s="27">
        <v>0.5</v>
      </c>
      <c r="M154" s="28">
        <v>6</v>
      </c>
      <c r="N154" s="27">
        <f t="shared" si="17"/>
        <v>3</v>
      </c>
      <c r="O154" s="27">
        <f t="shared" si="18"/>
        <v>0.5283630000483901</v>
      </c>
      <c r="P154" s="28">
        <v>7</v>
      </c>
      <c r="Q154" s="28">
        <v>45</v>
      </c>
      <c r="R154" s="29">
        <f t="shared" si="14"/>
        <v>315</v>
      </c>
      <c r="S154" s="30">
        <v>0.22</v>
      </c>
      <c r="T154" s="30">
        <v>0</v>
      </c>
      <c r="U154" s="1647">
        <v>929225</v>
      </c>
      <c r="V154" s="1648">
        <v>1.5E-3</v>
      </c>
      <c r="W154" s="1649">
        <v>902332</v>
      </c>
      <c r="X154" s="1650">
        <v>0.24674444999999998</v>
      </c>
      <c r="Y154" s="1649">
        <v>0</v>
      </c>
      <c r="Z154" s="1650">
        <v>0</v>
      </c>
      <c r="AA154" s="1649">
        <v>917993</v>
      </c>
      <c r="AB154" s="1650">
        <v>6</v>
      </c>
      <c r="AC154" s="1649">
        <v>929259</v>
      </c>
      <c r="AD154" s="1650">
        <v>6</v>
      </c>
      <c r="AE154" s="1649">
        <v>929270</v>
      </c>
      <c r="AF154" s="1650">
        <v>6</v>
      </c>
      <c r="AG154" s="1651"/>
      <c r="AH154" s="1652"/>
      <c r="AI154" s="1649">
        <v>0</v>
      </c>
      <c r="AJ154" s="1650">
        <v>0</v>
      </c>
      <c r="AK154" s="1653">
        <v>0</v>
      </c>
      <c r="AL154" s="1654">
        <v>0</v>
      </c>
      <c r="AM154" s="1649">
        <v>934139</v>
      </c>
      <c r="AN154" s="1655">
        <v>1.5699999999999999E-2</v>
      </c>
      <c r="AO154" s="1649">
        <v>902311</v>
      </c>
      <c r="AP154" s="1655">
        <v>1.4285000000000001E-3</v>
      </c>
      <c r="AQ154" s="1649">
        <v>933089</v>
      </c>
      <c r="AR154" s="1655">
        <v>1.9047619047619049E-2</v>
      </c>
      <c r="AS154" s="1649">
        <f t="shared" si="20"/>
        <v>903360</v>
      </c>
      <c r="AT154" s="1655">
        <f t="shared" si="21"/>
        <v>3.1746031746031746E-3</v>
      </c>
      <c r="AU154" s="1649">
        <v>0</v>
      </c>
      <c r="AV154" s="1655">
        <v>0</v>
      </c>
      <c r="AW154" s="1649">
        <v>0</v>
      </c>
      <c r="AX154" s="1655">
        <v>0</v>
      </c>
      <c r="AZ154" s="1647"/>
      <c r="BA154" s="1656"/>
      <c r="BD154" s="42"/>
      <c r="BI154" s="22"/>
      <c r="BJ154" s="58"/>
      <c r="BL154" s="22" t="s">
        <v>91</v>
      </c>
      <c r="BN154" s="44"/>
      <c r="BP154" s="45"/>
      <c r="BQ154" s="46"/>
      <c r="BZ154">
        <v>929225</v>
      </c>
      <c r="CA154">
        <v>929225</v>
      </c>
      <c r="CB154" t="b">
        <f t="shared" si="19"/>
        <v>1</v>
      </c>
    </row>
    <row r="155" spans="1:80" ht="15" customHeight="1" x14ac:dyDescent="0.25">
      <c r="A155" s="22">
        <v>2678</v>
      </c>
      <c r="B155" s="23" t="s">
        <v>392</v>
      </c>
      <c r="C155" s="22" t="s">
        <v>170</v>
      </c>
      <c r="D155" s="23" t="s">
        <v>380</v>
      </c>
      <c r="E155" s="23" t="s">
        <v>380</v>
      </c>
      <c r="F155" s="22" t="s">
        <v>333</v>
      </c>
      <c r="G155" s="22" t="s">
        <v>333</v>
      </c>
      <c r="H155" s="23" t="s">
        <v>384</v>
      </c>
      <c r="I155" s="24" t="s">
        <v>384</v>
      </c>
      <c r="J155" s="1657">
        <v>0</v>
      </c>
      <c r="K155" s="26" t="s">
        <v>81</v>
      </c>
      <c r="L155" s="27">
        <v>0.995</v>
      </c>
      <c r="M155" s="28">
        <v>6</v>
      </c>
      <c r="N155" s="27">
        <f t="shared" si="17"/>
        <v>5.97</v>
      </c>
      <c r="O155" s="27">
        <f t="shared" si="18"/>
        <v>1.0514423700962963</v>
      </c>
      <c r="P155" s="28">
        <v>5</v>
      </c>
      <c r="Q155" s="28">
        <v>28</v>
      </c>
      <c r="R155" s="29">
        <f t="shared" si="14"/>
        <v>140</v>
      </c>
      <c r="S155" s="30">
        <v>0.22</v>
      </c>
      <c r="T155" s="30">
        <v>0.1</v>
      </c>
      <c r="U155" s="1658">
        <v>929225</v>
      </c>
      <c r="V155" s="1659">
        <v>2.9849999999999998E-3</v>
      </c>
      <c r="W155" s="1660">
        <v>902332</v>
      </c>
      <c r="X155" s="1661">
        <v>0.49102145549999998</v>
      </c>
      <c r="Y155" s="1660">
        <v>0</v>
      </c>
      <c r="Z155" s="1661">
        <v>0</v>
      </c>
      <c r="AA155" s="1660">
        <v>917993</v>
      </c>
      <c r="AB155" s="1661">
        <v>6</v>
      </c>
      <c r="AC155" s="1660">
        <v>938126</v>
      </c>
      <c r="AD155" s="1661">
        <v>6</v>
      </c>
      <c r="AE155" s="1660">
        <v>929272</v>
      </c>
      <c r="AF155" s="1661">
        <v>6</v>
      </c>
      <c r="AG155" s="1662"/>
      <c r="AH155" s="1663"/>
      <c r="AI155" s="1660">
        <v>0</v>
      </c>
      <c r="AJ155" s="1661">
        <v>0</v>
      </c>
      <c r="AK155" s="1664">
        <v>0</v>
      </c>
      <c r="AL155" s="1665">
        <v>0</v>
      </c>
      <c r="AM155" s="1660">
        <v>922605</v>
      </c>
      <c r="AN155" s="1666">
        <v>0.02</v>
      </c>
      <c r="AO155" s="1660">
        <v>902311</v>
      </c>
      <c r="AP155" s="1667">
        <v>1.4285000000000001E-3</v>
      </c>
      <c r="AQ155" s="1660">
        <v>902302</v>
      </c>
      <c r="AR155" s="1667">
        <v>2.8571428571428571E-2</v>
      </c>
      <c r="AS155" s="1660">
        <f t="shared" si="20"/>
        <v>903360</v>
      </c>
      <c r="AT155" s="1667">
        <f t="shared" si="21"/>
        <v>7.1428571428571426E-3</v>
      </c>
      <c r="AU155" s="1660">
        <v>0</v>
      </c>
      <c r="AV155" s="1667">
        <v>0</v>
      </c>
      <c r="AW155" s="1660">
        <v>0</v>
      </c>
      <c r="AX155" s="1667">
        <v>0</v>
      </c>
      <c r="AZ155" s="1658"/>
      <c r="BA155" s="1668"/>
      <c r="BD155" s="42"/>
      <c r="BI155" s="22"/>
      <c r="BJ155" s="58"/>
      <c r="BL155" s="22" t="s">
        <v>91</v>
      </c>
      <c r="BN155" s="44"/>
      <c r="BP155" s="45"/>
      <c r="BQ155" s="46"/>
      <c r="BZ155">
        <v>929225</v>
      </c>
      <c r="CA155">
        <v>929225</v>
      </c>
      <c r="CB155" t="b">
        <f t="shared" si="19"/>
        <v>1</v>
      </c>
    </row>
    <row r="156" spans="1:80" ht="15" customHeight="1" x14ac:dyDescent="0.25">
      <c r="A156" s="22">
        <v>2682</v>
      </c>
      <c r="B156" s="23" t="s">
        <v>393</v>
      </c>
      <c r="C156" s="22" t="s">
        <v>170</v>
      </c>
      <c r="D156" s="23" t="s">
        <v>380</v>
      </c>
      <c r="E156" s="23" t="s">
        <v>380</v>
      </c>
      <c r="F156" s="22" t="s">
        <v>283</v>
      </c>
      <c r="G156" s="22" t="s">
        <v>283</v>
      </c>
      <c r="H156" s="23" t="s">
        <v>381</v>
      </c>
      <c r="I156" s="24" t="s">
        <v>381</v>
      </c>
      <c r="J156" s="1669">
        <v>0</v>
      </c>
      <c r="K156" s="26" t="s">
        <v>81</v>
      </c>
      <c r="L156" s="27">
        <v>0.5</v>
      </c>
      <c r="M156" s="28">
        <v>6</v>
      </c>
      <c r="N156" s="27">
        <f t="shared" si="17"/>
        <v>3</v>
      </c>
      <c r="O156" s="27">
        <f t="shared" si="18"/>
        <v>0.5283630000483901</v>
      </c>
      <c r="P156" s="28">
        <v>7</v>
      </c>
      <c r="Q156" s="28">
        <v>45</v>
      </c>
      <c r="R156" s="29">
        <f t="shared" si="14"/>
        <v>315</v>
      </c>
      <c r="S156" s="30">
        <v>0.22</v>
      </c>
      <c r="T156" s="30">
        <v>0</v>
      </c>
      <c r="U156" s="1670">
        <v>929227</v>
      </c>
      <c r="V156" s="1671">
        <v>1.5E-3</v>
      </c>
      <c r="W156" s="1672">
        <v>902332</v>
      </c>
      <c r="X156" s="1673">
        <v>0.24661949999999999</v>
      </c>
      <c r="Y156" s="1672">
        <v>0</v>
      </c>
      <c r="Z156" s="1673">
        <v>0</v>
      </c>
      <c r="AA156" s="1672">
        <v>917993</v>
      </c>
      <c r="AB156" s="1673">
        <v>6</v>
      </c>
      <c r="AC156" s="1672">
        <v>929257</v>
      </c>
      <c r="AD156" s="1673">
        <v>6</v>
      </c>
      <c r="AE156" s="1672">
        <v>929270</v>
      </c>
      <c r="AF156" s="1673">
        <v>6</v>
      </c>
      <c r="AG156" s="1674"/>
      <c r="AH156" s="1675"/>
      <c r="AI156" s="1672">
        <v>0</v>
      </c>
      <c r="AJ156" s="1673">
        <v>0</v>
      </c>
      <c r="AK156" s="1676">
        <v>0</v>
      </c>
      <c r="AL156" s="1677">
        <v>0</v>
      </c>
      <c r="AM156" s="1672">
        <v>934139</v>
      </c>
      <c r="AN156" s="1678">
        <v>1.5699999999999999E-2</v>
      </c>
      <c r="AO156" s="1672">
        <v>902311</v>
      </c>
      <c r="AP156" s="1678">
        <v>1.4285000000000001E-3</v>
      </c>
      <c r="AQ156" s="1672">
        <v>933089</v>
      </c>
      <c r="AR156" s="1678">
        <v>1.9047619047619049E-2</v>
      </c>
      <c r="AS156" s="1672">
        <f t="shared" si="20"/>
        <v>903360</v>
      </c>
      <c r="AT156" s="1678">
        <f t="shared" si="21"/>
        <v>3.1746031746031746E-3</v>
      </c>
      <c r="AU156" s="1672">
        <v>0</v>
      </c>
      <c r="AV156" s="1678">
        <v>0</v>
      </c>
      <c r="AW156" s="1672">
        <v>0</v>
      </c>
      <c r="AX156" s="1678">
        <v>0</v>
      </c>
      <c r="AZ156" s="1670"/>
      <c r="BA156" s="1679"/>
      <c r="BD156" s="42"/>
      <c r="BI156" s="22"/>
      <c r="BJ156" s="58"/>
      <c r="BL156" s="22" t="s">
        <v>283</v>
      </c>
      <c r="BN156" s="44"/>
      <c r="BP156" s="45"/>
      <c r="BQ156" s="46"/>
      <c r="BZ156">
        <v>929227</v>
      </c>
      <c r="CA156">
        <v>929227</v>
      </c>
      <c r="CB156" t="b">
        <f t="shared" si="19"/>
        <v>1</v>
      </c>
    </row>
    <row r="157" spans="1:80" ht="15" customHeight="1" x14ac:dyDescent="0.25">
      <c r="A157" s="22">
        <v>2688</v>
      </c>
      <c r="B157" s="23" t="s">
        <v>394</v>
      </c>
      <c r="C157" s="22" t="s">
        <v>170</v>
      </c>
      <c r="D157" s="23" t="s">
        <v>380</v>
      </c>
      <c r="E157" s="23" t="s">
        <v>380</v>
      </c>
      <c r="F157" s="22" t="s">
        <v>333</v>
      </c>
      <c r="G157" s="22" t="s">
        <v>333</v>
      </c>
      <c r="H157" s="23" t="s">
        <v>384</v>
      </c>
      <c r="I157" s="24" t="s">
        <v>384</v>
      </c>
      <c r="J157" s="1680">
        <v>0</v>
      </c>
      <c r="K157" s="26" t="s">
        <v>81</v>
      </c>
      <c r="L157" s="27">
        <v>0.995</v>
      </c>
      <c r="M157" s="28">
        <v>6</v>
      </c>
      <c r="N157" s="27">
        <f t="shared" si="17"/>
        <v>5.97</v>
      </c>
      <c r="O157" s="27">
        <f t="shared" si="18"/>
        <v>1.0514423700962963</v>
      </c>
      <c r="P157" s="28">
        <v>5</v>
      </c>
      <c r="Q157" s="28">
        <v>28</v>
      </c>
      <c r="R157" s="29">
        <f t="shared" si="14"/>
        <v>140</v>
      </c>
      <c r="S157" s="30">
        <v>0.22</v>
      </c>
      <c r="T157" s="30">
        <v>0.1</v>
      </c>
      <c r="U157" s="1681">
        <v>929227</v>
      </c>
      <c r="V157" s="1682">
        <v>2.9849999999999998E-3</v>
      </c>
      <c r="W157" s="1683">
        <v>902332</v>
      </c>
      <c r="X157" s="1684">
        <v>0.49077280499999998</v>
      </c>
      <c r="Y157" s="1683">
        <v>0</v>
      </c>
      <c r="Z157" s="1684">
        <v>0</v>
      </c>
      <c r="AA157" s="1683">
        <v>917993</v>
      </c>
      <c r="AB157" s="1684">
        <v>6</v>
      </c>
      <c r="AC157" s="1683">
        <v>929262</v>
      </c>
      <c r="AD157" s="1684">
        <v>6</v>
      </c>
      <c r="AE157" s="1683">
        <v>929272</v>
      </c>
      <c r="AF157" s="1684">
        <v>6</v>
      </c>
      <c r="AG157" s="1685"/>
      <c r="AH157" s="1686"/>
      <c r="AI157" s="1683">
        <v>0</v>
      </c>
      <c r="AJ157" s="1684">
        <v>0</v>
      </c>
      <c r="AK157" s="1687">
        <v>0</v>
      </c>
      <c r="AL157" s="1688">
        <v>0</v>
      </c>
      <c r="AM157" s="1683">
        <v>922605</v>
      </c>
      <c r="AN157" s="1689">
        <v>0.02</v>
      </c>
      <c r="AO157" s="1683">
        <v>902311</v>
      </c>
      <c r="AP157" s="1690">
        <v>1.4285000000000001E-3</v>
      </c>
      <c r="AQ157" s="1683">
        <v>902302</v>
      </c>
      <c r="AR157" s="1690">
        <v>2.8571428571428571E-2</v>
      </c>
      <c r="AS157" s="1683">
        <f t="shared" si="20"/>
        <v>903360</v>
      </c>
      <c r="AT157" s="1690">
        <f t="shared" si="21"/>
        <v>7.1428571428571426E-3</v>
      </c>
      <c r="AU157" s="1683">
        <v>0</v>
      </c>
      <c r="AV157" s="1690">
        <v>0</v>
      </c>
      <c r="AW157" s="1683">
        <v>0</v>
      </c>
      <c r="AX157" s="1690">
        <v>0</v>
      </c>
      <c r="AZ157" s="1681"/>
      <c r="BA157" s="1691"/>
      <c r="BD157" s="42"/>
      <c r="BI157" s="22"/>
      <c r="BJ157" s="58"/>
      <c r="BL157" s="22" t="s">
        <v>283</v>
      </c>
      <c r="BN157" s="44"/>
      <c r="BP157" s="45"/>
      <c r="BQ157" s="46"/>
      <c r="BZ157">
        <v>929227</v>
      </c>
      <c r="CA157">
        <v>929227</v>
      </c>
      <c r="CB157" t="b">
        <f t="shared" si="19"/>
        <v>1</v>
      </c>
    </row>
    <row r="158" spans="1:80" ht="15" customHeight="1" x14ac:dyDescent="0.25">
      <c r="A158" s="22">
        <v>2710</v>
      </c>
      <c r="B158" s="23" t="s">
        <v>395</v>
      </c>
      <c r="C158" s="22" t="s">
        <v>76</v>
      </c>
      <c r="D158" s="23" t="s">
        <v>220</v>
      </c>
      <c r="E158" s="23" t="s">
        <v>292</v>
      </c>
      <c r="F158" s="22" t="s">
        <v>86</v>
      </c>
      <c r="G158" s="22" t="s">
        <v>86</v>
      </c>
      <c r="H158" s="23" t="s">
        <v>88</v>
      </c>
      <c r="I158" s="24" t="s">
        <v>88</v>
      </c>
      <c r="J158" s="1692">
        <v>4.1666670000000003E-2</v>
      </c>
      <c r="K158" s="26" t="s">
        <v>81</v>
      </c>
      <c r="L158" s="27">
        <v>0.35</v>
      </c>
      <c r="M158" s="28">
        <v>24</v>
      </c>
      <c r="N158" s="27">
        <f t="shared" si="17"/>
        <v>8.3999999999999986</v>
      </c>
      <c r="O158" s="27">
        <f t="shared" si="18"/>
        <v>1.4794164001354921</v>
      </c>
      <c r="P158" s="28">
        <v>6</v>
      </c>
      <c r="Q158" s="28">
        <v>10</v>
      </c>
      <c r="R158" s="29">
        <f t="shared" si="14"/>
        <v>60</v>
      </c>
      <c r="S158" s="30">
        <v>0.27500000000000002</v>
      </c>
      <c r="T158" s="30">
        <v>0</v>
      </c>
      <c r="U158" s="1693">
        <v>911399</v>
      </c>
      <c r="V158" s="1694">
        <v>4.1999999999999997E-3</v>
      </c>
      <c r="W158" s="1695">
        <v>0</v>
      </c>
      <c r="X158" s="1696">
        <v>0</v>
      </c>
      <c r="Y158" s="1695">
        <v>902338</v>
      </c>
      <c r="Z158" s="1696">
        <v>6.48648E-2</v>
      </c>
      <c r="AA158" s="1695">
        <v>933139</v>
      </c>
      <c r="AB158" s="1696">
        <v>24</v>
      </c>
      <c r="AC158" s="1695">
        <v>932980</v>
      </c>
      <c r="AD158" s="1696">
        <v>24</v>
      </c>
      <c r="AE158" s="1695">
        <v>0</v>
      </c>
      <c r="AF158" s="1696">
        <v>0</v>
      </c>
      <c r="AG158" s="1697"/>
      <c r="AH158" s="1698"/>
      <c r="AI158" s="1695">
        <v>932677</v>
      </c>
      <c r="AJ158" s="1696">
        <v>24</v>
      </c>
      <c r="AK158" s="1699">
        <v>901734</v>
      </c>
      <c r="AL158" s="1700">
        <v>1</v>
      </c>
      <c r="AM158" s="1695">
        <v>0</v>
      </c>
      <c r="AN158" s="1701">
        <v>0</v>
      </c>
      <c r="AO158" s="1695">
        <v>0</v>
      </c>
      <c r="AP158" s="1701">
        <v>0</v>
      </c>
      <c r="AQ158" s="1695">
        <v>0</v>
      </c>
      <c r="AR158" s="1701">
        <v>0</v>
      </c>
      <c r="AS158" s="1695">
        <f t="shared" si="20"/>
        <v>903360</v>
      </c>
      <c r="AT158" s="1701">
        <f t="shared" si="21"/>
        <v>1.6666666666666666E-2</v>
      </c>
      <c r="AU158" s="1695">
        <v>0</v>
      </c>
      <c r="AV158" s="1701">
        <v>0</v>
      </c>
      <c r="AW158" s="1695">
        <v>0</v>
      </c>
      <c r="AX158" s="1701">
        <v>0</v>
      </c>
      <c r="AZ158" s="1693"/>
      <c r="BA158" s="1702"/>
      <c r="BD158" s="42"/>
      <c r="BI158" s="22"/>
      <c r="BJ158" s="58"/>
      <c r="BL158" s="22" t="s">
        <v>283</v>
      </c>
      <c r="BN158" s="44"/>
      <c r="BP158" s="45"/>
      <c r="BQ158" s="46"/>
      <c r="BZ158">
        <v>911399</v>
      </c>
      <c r="CA158">
        <v>939150</v>
      </c>
      <c r="CB158" t="b">
        <f t="shared" si="19"/>
        <v>0</v>
      </c>
    </row>
    <row r="159" spans="1:80" ht="15" customHeight="1" x14ac:dyDescent="0.25">
      <c r="A159" s="22">
        <v>2727</v>
      </c>
      <c r="B159" s="23" t="s">
        <v>396</v>
      </c>
      <c r="C159" s="22" t="s">
        <v>76</v>
      </c>
      <c r="D159" s="23" t="s">
        <v>220</v>
      </c>
      <c r="E159" s="23" t="s">
        <v>292</v>
      </c>
      <c r="F159" s="22" t="s">
        <v>102</v>
      </c>
      <c r="G159" s="22" t="s">
        <v>102</v>
      </c>
      <c r="H159" s="23" t="s">
        <v>104</v>
      </c>
      <c r="I159" s="24" t="s">
        <v>104</v>
      </c>
      <c r="J159" s="1703">
        <v>4.1666670000000003E-2</v>
      </c>
      <c r="K159" s="26" t="s">
        <v>81</v>
      </c>
      <c r="L159" s="27">
        <v>0.5</v>
      </c>
      <c r="M159" s="28">
        <v>12</v>
      </c>
      <c r="N159" s="27">
        <f t="shared" si="17"/>
        <v>6</v>
      </c>
      <c r="O159" s="27">
        <f t="shared" si="18"/>
        <v>1.0567260000967802</v>
      </c>
      <c r="P159" s="28">
        <v>6</v>
      </c>
      <c r="Q159" s="28">
        <v>24</v>
      </c>
      <c r="R159" s="29">
        <f t="shared" si="14"/>
        <v>144</v>
      </c>
      <c r="S159" s="30">
        <v>0.27500000000000002</v>
      </c>
      <c r="T159" s="30">
        <v>0</v>
      </c>
      <c r="U159" s="1704">
        <v>911399</v>
      </c>
      <c r="V159" s="1705">
        <v>3.0000000000000001E-3</v>
      </c>
      <c r="W159" s="1706">
        <v>0</v>
      </c>
      <c r="X159" s="1707">
        <v>0</v>
      </c>
      <c r="Y159" s="1706">
        <v>902338</v>
      </c>
      <c r="Z159" s="1707">
        <v>4.9896000000000003E-2</v>
      </c>
      <c r="AA159" s="1706">
        <v>901781</v>
      </c>
      <c r="AB159" s="1707">
        <v>12</v>
      </c>
      <c r="AC159" s="1706">
        <v>912216</v>
      </c>
      <c r="AD159" s="1707">
        <v>12</v>
      </c>
      <c r="AE159" s="1706">
        <v>901189</v>
      </c>
      <c r="AF159" s="1707">
        <v>12</v>
      </c>
      <c r="AG159" s="1708"/>
      <c r="AH159" s="1709"/>
      <c r="AI159" s="1706">
        <v>0</v>
      </c>
      <c r="AJ159" s="1707">
        <v>0</v>
      </c>
      <c r="AK159" s="1710">
        <v>0</v>
      </c>
      <c r="AL159" s="1711">
        <v>0</v>
      </c>
      <c r="AM159" s="1706">
        <v>932317</v>
      </c>
      <c r="AN159" s="1712">
        <v>1.9900000000000001E-2</v>
      </c>
      <c r="AO159" s="1706">
        <v>902311</v>
      </c>
      <c r="AP159" s="1712">
        <v>2.7777777777777779E-3</v>
      </c>
      <c r="AQ159" s="1706">
        <v>933089</v>
      </c>
      <c r="AR159" s="1712">
        <v>3.4722222222222224E-2</v>
      </c>
      <c r="AS159" s="1706">
        <f t="shared" si="20"/>
        <v>903360</v>
      </c>
      <c r="AT159" s="1712">
        <f t="shared" si="21"/>
        <v>6.9444444444444441E-3</v>
      </c>
      <c r="AU159" s="1706">
        <v>0</v>
      </c>
      <c r="AV159" s="1712">
        <v>0</v>
      </c>
      <c r="AW159" s="1706">
        <v>0</v>
      </c>
      <c r="AX159" s="1712">
        <v>0</v>
      </c>
      <c r="AZ159" s="1704"/>
      <c r="BA159" s="1713"/>
      <c r="BD159" s="42"/>
      <c r="BI159" s="22"/>
      <c r="BJ159" s="58"/>
      <c r="BL159" s="22" t="s">
        <v>283</v>
      </c>
      <c r="BN159" s="44"/>
      <c r="BP159" s="45"/>
      <c r="BQ159" s="46"/>
      <c r="BZ159">
        <v>911399</v>
      </c>
      <c r="CA159">
        <v>939150</v>
      </c>
      <c r="CB159" t="b">
        <f t="shared" si="19"/>
        <v>0</v>
      </c>
    </row>
    <row r="160" spans="1:80" ht="15" customHeight="1" x14ac:dyDescent="0.25">
      <c r="A160" s="22">
        <v>2728</v>
      </c>
      <c r="B160" s="23" t="s">
        <v>397</v>
      </c>
      <c r="C160" s="22" t="s">
        <v>76</v>
      </c>
      <c r="D160" s="23" t="s">
        <v>220</v>
      </c>
      <c r="E160" s="23" t="s">
        <v>292</v>
      </c>
      <c r="F160" s="22" t="s">
        <v>91</v>
      </c>
      <c r="G160" s="22" t="s">
        <v>91</v>
      </c>
      <c r="H160" s="23" t="s">
        <v>93</v>
      </c>
      <c r="I160" s="24" t="s">
        <v>93</v>
      </c>
      <c r="J160" s="1714">
        <v>4.1666670000000003E-2</v>
      </c>
      <c r="K160" s="26" t="s">
        <v>94</v>
      </c>
      <c r="L160" s="27">
        <v>0.35399999999999998</v>
      </c>
      <c r="M160" s="28">
        <v>6</v>
      </c>
      <c r="N160" s="27">
        <f t="shared" si="17"/>
        <v>2.1239999999999997</v>
      </c>
      <c r="O160" s="27">
        <f t="shared" si="18"/>
        <v>0.37408100403426015</v>
      </c>
      <c r="P160" s="28">
        <v>11</v>
      </c>
      <c r="Q160" s="28">
        <v>45</v>
      </c>
      <c r="R160" s="29">
        <f t="shared" si="14"/>
        <v>495</v>
      </c>
      <c r="S160" s="30">
        <v>0.27500000000000002</v>
      </c>
      <c r="T160" s="30">
        <v>0.1</v>
      </c>
      <c r="U160" s="1715">
        <v>0</v>
      </c>
      <c r="V160" s="1716">
        <v>0</v>
      </c>
      <c r="W160" s="1717">
        <v>0</v>
      </c>
      <c r="X160" s="1718">
        <v>0</v>
      </c>
      <c r="Y160" s="1717">
        <v>0</v>
      </c>
      <c r="Z160" s="1718">
        <v>0</v>
      </c>
      <c r="AA160" s="1717"/>
      <c r="AB160" s="1718">
        <v>0</v>
      </c>
      <c r="AC160" s="1717">
        <v>0</v>
      </c>
      <c r="AD160" s="1718">
        <v>0</v>
      </c>
      <c r="AE160" s="1717">
        <v>0</v>
      </c>
      <c r="AF160" s="1718">
        <v>0</v>
      </c>
      <c r="AG160" s="1719"/>
      <c r="AH160" s="1720"/>
      <c r="AI160" s="1717">
        <v>0</v>
      </c>
      <c r="AJ160" s="1718">
        <v>0</v>
      </c>
      <c r="AK160" s="1721">
        <v>0</v>
      </c>
      <c r="AL160" s="1722">
        <v>0</v>
      </c>
      <c r="AM160" s="1717">
        <v>0</v>
      </c>
      <c r="AN160" s="1723">
        <v>0</v>
      </c>
      <c r="AO160" s="1717">
        <v>0</v>
      </c>
      <c r="AP160" s="1723">
        <v>0</v>
      </c>
      <c r="AQ160" s="1717">
        <v>0</v>
      </c>
      <c r="AR160" s="1723">
        <v>0</v>
      </c>
      <c r="AS160" s="1717">
        <v>0</v>
      </c>
      <c r="AT160" s="1723">
        <v>0</v>
      </c>
      <c r="AU160" s="1717">
        <v>0</v>
      </c>
      <c r="AV160" s="1723">
        <v>0</v>
      </c>
      <c r="AW160" s="1717">
        <v>0</v>
      </c>
      <c r="AX160" s="1723">
        <v>0</v>
      </c>
      <c r="AZ160" s="1715"/>
      <c r="BA160" s="1724"/>
      <c r="BD160" s="42"/>
      <c r="BI160" s="22"/>
      <c r="BJ160" s="58"/>
      <c r="BL160" s="22" t="s">
        <v>262</v>
      </c>
      <c r="BN160" s="44"/>
      <c r="BP160" s="45"/>
      <c r="BQ160" s="46"/>
      <c r="BZ160">
        <v>0</v>
      </c>
      <c r="CA160">
        <v>0</v>
      </c>
      <c r="CB160" t="b">
        <f t="shared" si="19"/>
        <v>1</v>
      </c>
    </row>
    <row r="161" spans="1:80" ht="15" customHeight="1" x14ac:dyDescent="0.25">
      <c r="A161" s="22">
        <v>2741</v>
      </c>
      <c r="B161" s="23" t="s">
        <v>398</v>
      </c>
      <c r="C161" s="22" t="s">
        <v>76</v>
      </c>
      <c r="D161" s="23" t="s">
        <v>220</v>
      </c>
      <c r="E161" s="23" t="s">
        <v>292</v>
      </c>
      <c r="F161" s="22" t="s">
        <v>107</v>
      </c>
      <c r="G161" s="22" t="s">
        <v>107</v>
      </c>
      <c r="H161" s="23" t="s">
        <v>115</v>
      </c>
      <c r="I161" s="24" t="s">
        <v>115</v>
      </c>
      <c r="J161" s="1725">
        <v>4.1666670000000003E-2</v>
      </c>
      <c r="K161" s="26" t="s">
        <v>81</v>
      </c>
      <c r="L161" s="27">
        <v>1.5</v>
      </c>
      <c r="M161" s="28">
        <v>8</v>
      </c>
      <c r="N161" s="27">
        <f t="shared" si="17"/>
        <v>12</v>
      </c>
      <c r="O161" s="27">
        <f t="shared" si="18"/>
        <v>2.1134520001935604</v>
      </c>
      <c r="P161" s="28">
        <v>4</v>
      </c>
      <c r="Q161" s="28">
        <v>21</v>
      </c>
      <c r="R161" s="29">
        <f t="shared" si="14"/>
        <v>84</v>
      </c>
      <c r="S161" s="30">
        <v>0.27500000000000002</v>
      </c>
      <c r="T161" s="30">
        <v>0</v>
      </c>
      <c r="U161" s="1726">
        <v>911399</v>
      </c>
      <c r="V161" s="1727">
        <v>6.0000000000000001E-3</v>
      </c>
      <c r="W161" s="1728">
        <v>0</v>
      </c>
      <c r="X161" s="1729">
        <v>0</v>
      </c>
      <c r="Y161" s="1728">
        <v>902338</v>
      </c>
      <c r="Z161" s="1729">
        <v>9.9792000000000006E-2</v>
      </c>
      <c r="AA161" s="1728">
        <v>901781</v>
      </c>
      <c r="AB161" s="1729">
        <v>8</v>
      </c>
      <c r="AC161" s="1728">
        <v>911355</v>
      </c>
      <c r="AD161" s="1729">
        <v>8</v>
      </c>
      <c r="AE161" s="1728">
        <v>913486</v>
      </c>
      <c r="AF161" s="1729">
        <v>8</v>
      </c>
      <c r="AG161" s="1730"/>
      <c r="AH161" s="1731"/>
      <c r="AI161" s="1728">
        <v>0</v>
      </c>
      <c r="AJ161" s="1729">
        <v>0</v>
      </c>
      <c r="AK161" s="1732">
        <v>0</v>
      </c>
      <c r="AL161" s="1733">
        <v>0</v>
      </c>
      <c r="AM161" s="1728">
        <v>902310</v>
      </c>
      <c r="AN161" s="1734">
        <v>3.1199999999999999E-2</v>
      </c>
      <c r="AO161" s="1728">
        <v>902311</v>
      </c>
      <c r="AP161" s="1734">
        <v>5.0000000000000001E-3</v>
      </c>
      <c r="AQ161" s="1728">
        <v>910319</v>
      </c>
      <c r="AR161" s="1734">
        <v>3.5714285714285712E-2</v>
      </c>
      <c r="AS161" s="1728">
        <f>IF(K161="P",903360,0)</f>
        <v>903360</v>
      </c>
      <c r="AT161" s="1734">
        <f>1/R161</f>
        <v>1.1904761904761904E-2</v>
      </c>
      <c r="AU161" s="1728">
        <v>0</v>
      </c>
      <c r="AV161" s="1734">
        <v>0</v>
      </c>
      <c r="AW161" s="1728">
        <v>0</v>
      </c>
      <c r="AX161" s="1734">
        <v>0</v>
      </c>
      <c r="AZ161" s="1726"/>
      <c r="BA161" s="1735"/>
      <c r="BD161" s="42"/>
      <c r="BI161" s="22"/>
      <c r="BJ161" s="58"/>
      <c r="BL161" s="22" t="s">
        <v>262</v>
      </c>
      <c r="BN161" s="44"/>
      <c r="BP161" s="45"/>
      <c r="BQ161" s="46"/>
      <c r="BZ161">
        <v>911399</v>
      </c>
      <c r="CA161">
        <v>939150</v>
      </c>
      <c r="CB161" t="b">
        <f t="shared" si="19"/>
        <v>0</v>
      </c>
    </row>
    <row r="162" spans="1:80" ht="15" customHeight="1" x14ac:dyDescent="0.25">
      <c r="A162" s="22">
        <v>2759</v>
      </c>
      <c r="B162" s="23" t="s">
        <v>399</v>
      </c>
      <c r="C162" s="22" t="s">
        <v>76</v>
      </c>
      <c r="D162" s="23" t="s">
        <v>220</v>
      </c>
      <c r="E162" s="23" t="s">
        <v>292</v>
      </c>
      <c r="F162" s="22" t="s">
        <v>118</v>
      </c>
      <c r="G162" s="22" t="s">
        <v>118</v>
      </c>
      <c r="H162" s="23" t="s">
        <v>125</v>
      </c>
      <c r="I162" s="24" t="s">
        <v>125</v>
      </c>
      <c r="J162" s="1736">
        <v>4.1666670000000003E-2</v>
      </c>
      <c r="K162" s="26" t="s">
        <v>81</v>
      </c>
      <c r="L162" s="27">
        <v>2.25</v>
      </c>
      <c r="M162" s="28">
        <v>6</v>
      </c>
      <c r="N162" s="27">
        <f t="shared" si="17"/>
        <v>13.5</v>
      </c>
      <c r="O162" s="27">
        <f t="shared" si="18"/>
        <v>2.3776335002177555</v>
      </c>
      <c r="P162" s="28">
        <v>4</v>
      </c>
      <c r="Q162" s="28">
        <v>20</v>
      </c>
      <c r="R162" s="29">
        <f t="shared" si="14"/>
        <v>80</v>
      </c>
      <c r="S162" s="30">
        <v>0.27500000000000002</v>
      </c>
      <c r="T162" s="30">
        <v>0</v>
      </c>
      <c r="U162" s="1737">
        <v>911399</v>
      </c>
      <c r="V162" s="1738">
        <v>6.7499999999999991E-3</v>
      </c>
      <c r="W162" s="1739">
        <v>0</v>
      </c>
      <c r="X162" s="1740">
        <v>0</v>
      </c>
      <c r="Y162" s="1739">
        <v>902338</v>
      </c>
      <c r="Z162" s="1740">
        <v>0.112266</v>
      </c>
      <c r="AA162" s="1739">
        <v>901781</v>
      </c>
      <c r="AB162" s="1740">
        <v>6</v>
      </c>
      <c r="AC162" s="1739">
        <v>911543</v>
      </c>
      <c r="AD162" s="1740">
        <v>6</v>
      </c>
      <c r="AE162" s="1739">
        <v>911881</v>
      </c>
      <c r="AF162" s="1740">
        <v>6</v>
      </c>
      <c r="AG162" s="1741"/>
      <c r="AH162" s="1742"/>
      <c r="AI162" s="1739">
        <v>0</v>
      </c>
      <c r="AJ162" s="1740">
        <v>0</v>
      </c>
      <c r="AK162" s="1743">
        <v>0</v>
      </c>
      <c r="AL162" s="1744">
        <v>0</v>
      </c>
      <c r="AM162" s="1739">
        <v>932442</v>
      </c>
      <c r="AN162" s="1745">
        <v>2.7699999999999999E-2</v>
      </c>
      <c r="AO162" s="1739">
        <v>902311</v>
      </c>
      <c r="AP162" s="1745">
        <v>4.3750000000000004E-3</v>
      </c>
      <c r="AQ162" s="1739">
        <v>933089</v>
      </c>
      <c r="AR162" s="1745">
        <v>3.7499999999999999E-2</v>
      </c>
      <c r="AS162" s="1739">
        <f>IF(K162="P",903360,0)</f>
        <v>903360</v>
      </c>
      <c r="AT162" s="1745">
        <f>1/R162</f>
        <v>1.2500000000000001E-2</v>
      </c>
      <c r="AU162" s="1739">
        <v>0</v>
      </c>
      <c r="AV162" s="1745">
        <v>0</v>
      </c>
      <c r="AW162" s="1739">
        <v>0</v>
      </c>
      <c r="AX162" s="1745">
        <v>0</v>
      </c>
      <c r="AZ162" s="1737"/>
      <c r="BA162" s="1746"/>
      <c r="BD162" s="42"/>
      <c r="BI162" s="22"/>
      <c r="BJ162" s="58"/>
      <c r="BL162" s="22"/>
      <c r="BN162" s="44"/>
      <c r="BP162" s="45"/>
      <c r="BQ162" s="46"/>
      <c r="BZ162">
        <v>911399</v>
      </c>
      <c r="CA162">
        <v>939150</v>
      </c>
      <c r="CB162" t="b">
        <f t="shared" si="19"/>
        <v>0</v>
      </c>
    </row>
    <row r="163" spans="1:80" ht="15" customHeight="1" x14ac:dyDescent="0.25">
      <c r="A163" s="22">
        <v>2780</v>
      </c>
      <c r="B163" s="23" t="s">
        <v>400</v>
      </c>
      <c r="C163" s="22" t="s">
        <v>76</v>
      </c>
      <c r="D163" s="23" t="s">
        <v>220</v>
      </c>
      <c r="E163" s="23" t="s">
        <v>292</v>
      </c>
      <c r="F163" s="22" t="s">
        <v>133</v>
      </c>
      <c r="G163" s="22" t="s">
        <v>133</v>
      </c>
      <c r="H163" s="23" t="s">
        <v>134</v>
      </c>
      <c r="I163" s="24" t="s">
        <v>135</v>
      </c>
      <c r="J163" s="1747">
        <v>4.1666670000000003E-2</v>
      </c>
      <c r="K163" s="26" t="s">
        <v>81</v>
      </c>
      <c r="L163" s="27">
        <v>64</v>
      </c>
      <c r="M163" s="28">
        <v>1</v>
      </c>
      <c r="N163" s="27">
        <f t="shared" si="17"/>
        <v>64</v>
      </c>
      <c r="O163" s="27">
        <f t="shared" si="18"/>
        <v>11.271744001032323</v>
      </c>
      <c r="P163" s="28">
        <v>4</v>
      </c>
      <c r="Q163" s="28">
        <v>15</v>
      </c>
      <c r="R163" s="29">
        <f t="shared" si="14"/>
        <v>60</v>
      </c>
      <c r="S163" s="30">
        <v>0.27500000000000002</v>
      </c>
      <c r="T163" s="30">
        <v>0</v>
      </c>
      <c r="U163" s="1748">
        <v>911399</v>
      </c>
      <c r="V163" s="1749">
        <v>3.1948881789137379E-2</v>
      </c>
      <c r="W163" s="1750">
        <v>0</v>
      </c>
      <c r="X163" s="1751">
        <v>0</v>
      </c>
      <c r="Y163" s="1750">
        <v>0</v>
      </c>
      <c r="Z163" s="1751">
        <v>0</v>
      </c>
      <c r="AA163" s="1750"/>
      <c r="AB163" s="1751">
        <v>0</v>
      </c>
      <c r="AC163" s="1750">
        <v>932371</v>
      </c>
      <c r="AD163" s="1751">
        <v>1</v>
      </c>
      <c r="AE163" s="1750">
        <v>0</v>
      </c>
      <c r="AF163" s="1751">
        <v>0</v>
      </c>
      <c r="AG163" s="1752"/>
      <c r="AH163" s="1753"/>
      <c r="AI163" s="1750">
        <v>0</v>
      </c>
      <c r="AJ163" s="1751">
        <v>0</v>
      </c>
      <c r="AK163" s="1754">
        <v>0</v>
      </c>
      <c r="AL163" s="1755">
        <v>0</v>
      </c>
      <c r="AM163" s="1750">
        <v>0</v>
      </c>
      <c r="AN163" s="1756">
        <v>0</v>
      </c>
      <c r="AO163" s="1750">
        <v>902311</v>
      </c>
      <c r="AP163" s="1756">
        <v>4.1666000000000003E-3</v>
      </c>
      <c r="AQ163" s="1750">
        <v>0</v>
      </c>
      <c r="AR163" s="1756">
        <v>0</v>
      </c>
      <c r="AS163" s="1750">
        <f>IF(K163="P",903360,0)</f>
        <v>903360</v>
      </c>
      <c r="AT163" s="1756">
        <f>1/R163</f>
        <v>1.6666666666666666E-2</v>
      </c>
      <c r="AU163" s="1750">
        <v>931919</v>
      </c>
      <c r="AV163" s="1756">
        <v>1</v>
      </c>
      <c r="AW163" s="1750">
        <v>932564</v>
      </c>
      <c r="AX163" s="1756">
        <v>1</v>
      </c>
      <c r="AZ163" s="1748"/>
      <c r="BA163" s="1757"/>
      <c r="BD163" s="42"/>
      <c r="BI163" s="22"/>
      <c r="BJ163" s="58"/>
      <c r="BL163" s="22"/>
      <c r="BN163" s="44"/>
      <c r="BP163" s="45"/>
      <c r="BQ163" s="46"/>
      <c r="BZ163">
        <v>911399</v>
      </c>
      <c r="CA163">
        <v>939299</v>
      </c>
      <c r="CB163" t="b">
        <f t="shared" si="19"/>
        <v>0</v>
      </c>
    </row>
    <row r="164" spans="1:80" ht="15" customHeight="1" x14ac:dyDescent="0.25">
      <c r="A164" s="22">
        <v>2910</v>
      </c>
      <c r="B164" s="23" t="s">
        <v>401</v>
      </c>
      <c r="C164" s="22" t="s">
        <v>170</v>
      </c>
      <c r="D164" s="23" t="s">
        <v>402</v>
      </c>
      <c r="E164" s="23" t="s">
        <v>402</v>
      </c>
      <c r="F164" s="22" t="s">
        <v>102</v>
      </c>
      <c r="G164" s="22" t="s">
        <v>102</v>
      </c>
      <c r="H164" s="23" t="s">
        <v>403</v>
      </c>
      <c r="I164" s="24"/>
      <c r="J164" s="1758"/>
      <c r="K164" s="26" t="s">
        <v>94</v>
      </c>
      <c r="L164" s="27">
        <v>0.5</v>
      </c>
      <c r="M164" s="28">
        <v>12</v>
      </c>
      <c r="N164" s="27">
        <f t="shared" si="17"/>
        <v>6</v>
      </c>
      <c r="O164" s="27">
        <f t="shared" si="18"/>
        <v>1.0567260000967802</v>
      </c>
      <c r="P164" s="28">
        <v>6</v>
      </c>
      <c r="Q164" s="28">
        <v>25</v>
      </c>
      <c r="R164" s="29">
        <f t="shared" si="14"/>
        <v>150</v>
      </c>
      <c r="S164" s="30"/>
      <c r="T164" s="30"/>
      <c r="U164" s="1759"/>
      <c r="V164" s="1760"/>
      <c r="W164" s="1761"/>
      <c r="X164" s="1762">
        <v>0</v>
      </c>
      <c r="Y164" s="1761"/>
      <c r="Z164" s="1762">
        <v>0</v>
      </c>
      <c r="AA164" s="1761"/>
      <c r="AB164" s="1762"/>
      <c r="AC164" s="1761">
        <v>0</v>
      </c>
      <c r="AD164" s="1762">
        <v>0</v>
      </c>
      <c r="AE164" s="1761">
        <v>0</v>
      </c>
      <c r="AF164" s="1762">
        <v>0</v>
      </c>
      <c r="AG164" s="1763"/>
      <c r="AH164" s="1764"/>
      <c r="AI164" s="1761">
        <v>0</v>
      </c>
      <c r="AJ164" s="1762">
        <v>0</v>
      </c>
      <c r="AK164" s="1765">
        <v>0</v>
      </c>
      <c r="AL164" s="1766">
        <v>0</v>
      </c>
      <c r="AM164" s="1761">
        <v>0</v>
      </c>
      <c r="AN164" s="1767">
        <v>0</v>
      </c>
      <c r="AO164" s="1761">
        <v>0</v>
      </c>
      <c r="AP164" s="1767">
        <v>0</v>
      </c>
      <c r="AQ164" s="1761">
        <v>0</v>
      </c>
      <c r="AR164" s="1767">
        <v>0</v>
      </c>
      <c r="AS164" s="1761">
        <v>0</v>
      </c>
      <c r="AT164" s="1767">
        <v>0</v>
      </c>
      <c r="AU164" s="1761">
        <v>0</v>
      </c>
      <c r="AV164" s="1767">
        <v>0</v>
      </c>
      <c r="AW164" s="1761">
        <v>0</v>
      </c>
      <c r="AX164" s="1767">
        <v>0</v>
      </c>
      <c r="AZ164" s="1759"/>
      <c r="BA164" s="1768"/>
      <c r="BD164" s="42"/>
      <c r="BI164" s="22"/>
      <c r="BJ164" s="58"/>
      <c r="BL164" s="22"/>
      <c r="BN164" s="44"/>
      <c r="BP164" s="45"/>
      <c r="BQ164" s="46"/>
      <c r="CA164">
        <v>0</v>
      </c>
      <c r="CB164" t="b">
        <f t="shared" si="19"/>
        <v>1</v>
      </c>
    </row>
    <row r="165" spans="1:80" ht="15" customHeight="1" x14ac:dyDescent="0.25">
      <c r="A165" s="22">
        <v>2915</v>
      </c>
      <c r="B165" s="23" t="s">
        <v>404</v>
      </c>
      <c r="C165" s="22" t="s">
        <v>170</v>
      </c>
      <c r="D165" s="23" t="s">
        <v>402</v>
      </c>
      <c r="E165" s="23" t="s">
        <v>402</v>
      </c>
      <c r="F165" s="22" t="s">
        <v>255</v>
      </c>
      <c r="G165" s="22" t="s">
        <v>255</v>
      </c>
      <c r="H165" s="23" t="s">
        <v>405</v>
      </c>
      <c r="I165" s="24"/>
      <c r="J165" s="1769"/>
      <c r="K165" s="26" t="s">
        <v>94</v>
      </c>
      <c r="L165" s="27">
        <v>1.5</v>
      </c>
      <c r="M165" s="28">
        <v>6</v>
      </c>
      <c r="N165" s="27">
        <f t="shared" si="17"/>
        <v>9</v>
      </c>
      <c r="O165" s="27">
        <f t="shared" si="18"/>
        <v>1.5850890001451705</v>
      </c>
      <c r="P165" s="28">
        <v>4</v>
      </c>
      <c r="Q165" s="28">
        <v>28</v>
      </c>
      <c r="R165" s="29">
        <f t="shared" si="14"/>
        <v>112</v>
      </c>
      <c r="S165" s="30"/>
      <c r="T165" s="30"/>
      <c r="U165" s="1770"/>
      <c r="V165" s="1771"/>
      <c r="W165" s="1772"/>
      <c r="X165" s="1773">
        <v>0</v>
      </c>
      <c r="Y165" s="1772"/>
      <c r="Z165" s="1773">
        <v>0</v>
      </c>
      <c r="AA165" s="1772"/>
      <c r="AB165" s="1773"/>
      <c r="AC165" s="1772">
        <v>0</v>
      </c>
      <c r="AD165" s="1773">
        <v>0</v>
      </c>
      <c r="AE165" s="1772">
        <v>0</v>
      </c>
      <c r="AF165" s="1773">
        <v>0</v>
      </c>
      <c r="AG165" s="1774"/>
      <c r="AH165" s="1775"/>
      <c r="AI165" s="1772">
        <v>0</v>
      </c>
      <c r="AJ165" s="1773">
        <v>0</v>
      </c>
      <c r="AK165" s="1776">
        <v>0</v>
      </c>
      <c r="AL165" s="1777">
        <v>0</v>
      </c>
      <c r="AM165" s="1772">
        <v>0</v>
      </c>
      <c r="AN165" s="1778">
        <v>0</v>
      </c>
      <c r="AO165" s="1772">
        <v>0</v>
      </c>
      <c r="AP165" s="1778">
        <v>0</v>
      </c>
      <c r="AQ165" s="1772">
        <v>0</v>
      </c>
      <c r="AR165" s="1778">
        <v>0</v>
      </c>
      <c r="AS165" s="1772">
        <v>0</v>
      </c>
      <c r="AT165" s="1778">
        <v>0</v>
      </c>
      <c r="AU165" s="1772">
        <v>0</v>
      </c>
      <c r="AV165" s="1778">
        <v>0</v>
      </c>
      <c r="AW165" s="1772">
        <v>0</v>
      </c>
      <c r="AX165" s="1778">
        <v>0</v>
      </c>
      <c r="AZ165" s="1770"/>
      <c r="BA165" s="1779"/>
      <c r="BD165" s="42"/>
      <c r="BI165" s="22"/>
      <c r="BJ165" s="58"/>
      <c r="BL165" s="22"/>
      <c r="BN165" s="44"/>
      <c r="BP165" s="45"/>
      <c r="BQ165" s="46"/>
      <c r="CA165">
        <v>0</v>
      </c>
      <c r="CB165" t="b">
        <f t="shared" si="19"/>
        <v>1</v>
      </c>
    </row>
    <row r="166" spans="1:80" ht="15" customHeight="1" x14ac:dyDescent="0.25">
      <c r="A166" s="22">
        <v>3026</v>
      </c>
      <c r="B166" s="23" t="s">
        <v>406</v>
      </c>
      <c r="C166" s="22" t="s">
        <v>76</v>
      </c>
      <c r="D166" s="23" t="s">
        <v>138</v>
      </c>
      <c r="E166" s="23" t="s">
        <v>271</v>
      </c>
      <c r="F166" s="22" t="s">
        <v>283</v>
      </c>
      <c r="G166" s="22" t="s">
        <v>283</v>
      </c>
      <c r="H166" s="23" t="str">
        <f>+C166&amp;F166</f>
        <v>Gaseosa500cc x6</v>
      </c>
      <c r="I166" s="24" t="str">
        <f>+H166</f>
        <v>Gaseosa500cc x6</v>
      </c>
      <c r="J166" s="1780">
        <v>8.6956519999999995E-2</v>
      </c>
      <c r="K166" s="26" t="s">
        <v>94</v>
      </c>
      <c r="L166" s="27">
        <v>0.5</v>
      </c>
      <c r="M166" s="28">
        <v>6</v>
      </c>
      <c r="N166" s="27">
        <f t="shared" si="17"/>
        <v>3</v>
      </c>
      <c r="O166" s="27">
        <f t="shared" si="18"/>
        <v>0.5283630000483901</v>
      </c>
      <c r="P166" s="28">
        <v>6</v>
      </c>
      <c r="Q166" s="28">
        <v>48</v>
      </c>
      <c r="R166" s="29">
        <f t="shared" si="14"/>
        <v>288</v>
      </c>
      <c r="S166" s="30">
        <v>0.20250000000000001</v>
      </c>
      <c r="T166" s="30">
        <v>0.05</v>
      </c>
      <c r="U166" s="1781"/>
      <c r="V166" s="1782"/>
      <c r="W166" s="1783"/>
      <c r="X166" s="1784">
        <v>0</v>
      </c>
      <c r="Y166" s="1783"/>
      <c r="Z166" s="1784">
        <v>0</v>
      </c>
      <c r="AA166" s="1783"/>
      <c r="AB166" s="1784"/>
      <c r="AC166" s="1783">
        <v>0</v>
      </c>
      <c r="AD166" s="1784">
        <v>0</v>
      </c>
      <c r="AE166" s="1783">
        <v>0</v>
      </c>
      <c r="AF166" s="1784">
        <v>0</v>
      </c>
      <c r="AG166" s="1785"/>
      <c r="AH166" s="1786"/>
      <c r="AI166" s="1783">
        <v>0</v>
      </c>
      <c r="AJ166" s="1784">
        <v>0</v>
      </c>
      <c r="AK166" s="1787">
        <v>0</v>
      </c>
      <c r="AL166" s="1788">
        <v>0</v>
      </c>
      <c r="AM166" s="1783">
        <v>0</v>
      </c>
      <c r="AN166" s="1789">
        <v>0</v>
      </c>
      <c r="AO166" s="1783">
        <v>0</v>
      </c>
      <c r="AP166" s="1789">
        <v>0</v>
      </c>
      <c r="AQ166" s="1783">
        <v>0</v>
      </c>
      <c r="AR166" s="1789">
        <v>0</v>
      </c>
      <c r="AS166" s="1783">
        <v>0</v>
      </c>
      <c r="AT166" s="1789">
        <v>0</v>
      </c>
      <c r="AU166" s="1783">
        <v>0</v>
      </c>
      <c r="AV166" s="1789">
        <v>0</v>
      </c>
      <c r="AW166" s="1783">
        <v>0</v>
      </c>
      <c r="AX166" s="1789">
        <v>0</v>
      </c>
      <c r="AZ166" s="1781"/>
      <c r="BA166" s="1790"/>
      <c r="BD166" s="42"/>
      <c r="BI166" s="22"/>
      <c r="BJ166" s="58"/>
      <c r="BL166" s="22"/>
      <c r="BN166" s="44"/>
      <c r="BP166" s="45"/>
      <c r="BQ166" s="46"/>
      <c r="CA166">
        <v>0</v>
      </c>
      <c r="CB166" t="b">
        <f t="shared" si="19"/>
        <v>1</v>
      </c>
    </row>
    <row r="167" spans="1:80" ht="15" customHeight="1" x14ac:dyDescent="0.25">
      <c r="A167" s="22">
        <v>3095</v>
      </c>
      <c r="B167" s="23" t="s">
        <v>407</v>
      </c>
      <c r="C167" s="22" t="s">
        <v>170</v>
      </c>
      <c r="D167" s="23" t="s">
        <v>204</v>
      </c>
      <c r="E167" s="23" t="s">
        <v>204</v>
      </c>
      <c r="F167" s="22" t="s">
        <v>358</v>
      </c>
      <c r="G167" s="22" t="s">
        <v>358</v>
      </c>
      <c r="H167" s="23" t="s">
        <v>408</v>
      </c>
      <c r="I167" s="24"/>
      <c r="J167" s="1791">
        <v>0.1111</v>
      </c>
      <c r="K167" s="26" t="s">
        <v>94</v>
      </c>
      <c r="L167" s="27">
        <v>0.47299999999999998</v>
      </c>
      <c r="M167" s="28">
        <v>6</v>
      </c>
      <c r="N167" s="27">
        <f t="shared" si="17"/>
        <v>2.8380000000000001</v>
      </c>
      <c r="O167" s="27">
        <f t="shared" si="18"/>
        <v>0.49983139804577709</v>
      </c>
      <c r="P167" s="28">
        <v>9</v>
      </c>
      <c r="Q167" s="28">
        <v>45</v>
      </c>
      <c r="R167" s="29">
        <f t="shared" si="14"/>
        <v>405</v>
      </c>
      <c r="S167" s="30">
        <v>0</v>
      </c>
      <c r="T167" s="30">
        <v>0</v>
      </c>
      <c r="U167" s="1792"/>
      <c r="V167" s="1793"/>
      <c r="W167" s="1794"/>
      <c r="X167" s="1795">
        <v>0</v>
      </c>
      <c r="Y167" s="1794"/>
      <c r="Z167" s="1795">
        <v>0</v>
      </c>
      <c r="AA167" s="1794"/>
      <c r="AB167" s="1795"/>
      <c r="AC167" s="1794">
        <v>0</v>
      </c>
      <c r="AD167" s="1795">
        <v>0</v>
      </c>
      <c r="AE167" s="1794">
        <v>0</v>
      </c>
      <c r="AF167" s="1795">
        <v>0</v>
      </c>
      <c r="AG167" s="1796"/>
      <c r="AH167" s="1797"/>
      <c r="AI167" s="1794">
        <v>0</v>
      </c>
      <c r="AJ167" s="1795">
        <v>0</v>
      </c>
      <c r="AK167" s="1798">
        <v>0</v>
      </c>
      <c r="AL167" s="1799">
        <v>0</v>
      </c>
      <c r="AM167" s="1794">
        <v>0</v>
      </c>
      <c r="AN167" s="1800">
        <v>0</v>
      </c>
      <c r="AO167" s="1794">
        <v>0</v>
      </c>
      <c r="AP167" s="1800">
        <v>0</v>
      </c>
      <c r="AQ167" s="1794">
        <v>0</v>
      </c>
      <c r="AR167" s="1800">
        <v>0</v>
      </c>
      <c r="AS167" s="1794">
        <v>0</v>
      </c>
      <c r="AT167" s="1800">
        <v>0</v>
      </c>
      <c r="AU167" s="1794">
        <v>0</v>
      </c>
      <c r="AV167" s="1800">
        <v>0</v>
      </c>
      <c r="AW167" s="1794">
        <v>0</v>
      </c>
      <c r="AX167" s="1800">
        <v>0</v>
      </c>
      <c r="AZ167" s="1792"/>
      <c r="BA167" s="1801"/>
      <c r="BD167" s="42"/>
      <c r="BI167" s="22"/>
      <c r="BJ167" s="58"/>
      <c r="BL167" s="22"/>
      <c r="BN167" s="44"/>
      <c r="BP167" s="45"/>
      <c r="BQ167" s="46"/>
      <c r="CA167">
        <v>0</v>
      </c>
      <c r="CB167" t="b">
        <f t="shared" si="19"/>
        <v>1</v>
      </c>
    </row>
    <row r="168" spans="1:80" ht="15" customHeight="1" x14ac:dyDescent="0.25">
      <c r="A168" s="22">
        <v>3096</v>
      </c>
      <c r="B168" s="23" t="s">
        <v>409</v>
      </c>
      <c r="C168" s="22" t="s">
        <v>170</v>
      </c>
      <c r="D168" s="23" t="s">
        <v>204</v>
      </c>
      <c r="E168" s="23" t="s">
        <v>204</v>
      </c>
      <c r="F168" s="22" t="s">
        <v>358</v>
      </c>
      <c r="G168" s="22" t="s">
        <v>358</v>
      </c>
      <c r="H168" s="23" t="s">
        <v>408</v>
      </c>
      <c r="I168" s="24"/>
      <c r="J168" s="1802">
        <v>0.1111</v>
      </c>
      <c r="K168" s="26" t="s">
        <v>94</v>
      </c>
      <c r="L168" s="27">
        <v>0.47299999999999998</v>
      </c>
      <c r="M168" s="28">
        <v>6</v>
      </c>
      <c r="N168" s="27">
        <f t="shared" si="17"/>
        <v>2.8380000000000001</v>
      </c>
      <c r="O168" s="27">
        <f t="shared" si="18"/>
        <v>0.49983139804577709</v>
      </c>
      <c r="P168" s="28">
        <v>9</v>
      </c>
      <c r="Q168" s="28">
        <v>45</v>
      </c>
      <c r="R168" s="29">
        <f t="shared" si="14"/>
        <v>405</v>
      </c>
      <c r="S168" s="30">
        <v>0</v>
      </c>
      <c r="T168" s="30">
        <v>0</v>
      </c>
      <c r="U168" s="1803"/>
      <c r="V168" s="1804"/>
      <c r="W168" s="1805"/>
      <c r="X168" s="1806">
        <v>0</v>
      </c>
      <c r="Y168" s="1805"/>
      <c r="Z168" s="1806">
        <v>0</v>
      </c>
      <c r="AA168" s="1805"/>
      <c r="AB168" s="1806"/>
      <c r="AC168" s="1805">
        <v>0</v>
      </c>
      <c r="AD168" s="1806">
        <v>0</v>
      </c>
      <c r="AE168" s="1805">
        <v>0</v>
      </c>
      <c r="AF168" s="1806">
        <v>0</v>
      </c>
      <c r="AG168" s="1807"/>
      <c r="AH168" s="1808"/>
      <c r="AI168" s="1805">
        <v>0</v>
      </c>
      <c r="AJ168" s="1806">
        <v>0</v>
      </c>
      <c r="AK168" s="1809">
        <v>0</v>
      </c>
      <c r="AL168" s="1810">
        <v>0</v>
      </c>
      <c r="AM168" s="1805">
        <v>0</v>
      </c>
      <c r="AN168" s="1811">
        <v>0</v>
      </c>
      <c r="AO168" s="1805">
        <v>0</v>
      </c>
      <c r="AP168" s="1811">
        <v>0</v>
      </c>
      <c r="AQ168" s="1805">
        <v>0</v>
      </c>
      <c r="AR168" s="1811">
        <v>0</v>
      </c>
      <c r="AS168" s="1805">
        <v>0</v>
      </c>
      <c r="AT168" s="1811">
        <v>0</v>
      </c>
      <c r="AU168" s="1805">
        <v>0</v>
      </c>
      <c r="AV168" s="1811">
        <v>0</v>
      </c>
      <c r="AW168" s="1805">
        <v>0</v>
      </c>
      <c r="AX168" s="1811">
        <v>0</v>
      </c>
      <c r="AZ168" s="1803"/>
      <c r="BA168" s="1812"/>
      <c r="BD168" s="42"/>
      <c r="BI168" s="22"/>
      <c r="BJ168" s="58"/>
      <c r="BL168" s="22"/>
      <c r="BN168" s="44"/>
      <c r="BP168" s="45"/>
      <c r="BQ168" s="46"/>
      <c r="CA168">
        <v>0</v>
      </c>
      <c r="CB168" t="b">
        <f t="shared" si="19"/>
        <v>1</v>
      </c>
    </row>
    <row r="169" spans="1:80" ht="15" customHeight="1" x14ac:dyDescent="0.25">
      <c r="A169" s="22">
        <v>3097</v>
      </c>
      <c r="B169" s="23" t="s">
        <v>410</v>
      </c>
      <c r="C169" s="22" t="s">
        <v>170</v>
      </c>
      <c r="D169" s="23" t="s">
        <v>411</v>
      </c>
      <c r="E169" s="23" t="s">
        <v>235</v>
      </c>
      <c r="F169" s="22" t="s">
        <v>262</v>
      </c>
      <c r="G169" s="22" t="s">
        <v>262</v>
      </c>
      <c r="H169" s="23" t="s">
        <v>275</v>
      </c>
      <c r="I169" s="24"/>
      <c r="J169" s="1813">
        <v>8.6956519999999995E-2</v>
      </c>
      <c r="K169" s="26" t="s">
        <v>94</v>
      </c>
      <c r="L169" s="27">
        <v>0.31</v>
      </c>
      <c r="M169" s="28">
        <v>6</v>
      </c>
      <c r="N169" s="27">
        <f t="shared" si="17"/>
        <v>1.8599999999999999</v>
      </c>
      <c r="O169" s="27">
        <f t="shared" si="18"/>
        <v>0.32758506003000187</v>
      </c>
      <c r="P169" s="28">
        <v>11</v>
      </c>
      <c r="Q169" s="28">
        <v>56</v>
      </c>
      <c r="R169" s="29">
        <f t="shared" si="14"/>
        <v>616</v>
      </c>
      <c r="S169" s="30">
        <v>0.316</v>
      </c>
      <c r="T169" s="30">
        <v>0.24099999999999999</v>
      </c>
      <c r="U169" s="1814"/>
      <c r="V169" s="1815"/>
      <c r="W169" s="1816"/>
      <c r="X169" s="1817">
        <v>0</v>
      </c>
      <c r="Y169" s="1816"/>
      <c r="Z169" s="1817">
        <v>0</v>
      </c>
      <c r="AA169" s="1816"/>
      <c r="AB169" s="1817"/>
      <c r="AC169" s="1816">
        <v>0</v>
      </c>
      <c r="AD169" s="1817">
        <v>0</v>
      </c>
      <c r="AE169" s="1816">
        <v>0</v>
      </c>
      <c r="AF169" s="1817">
        <v>0</v>
      </c>
      <c r="AG169" s="1818"/>
      <c r="AH169" s="1819"/>
      <c r="AI169" s="1816">
        <v>0</v>
      </c>
      <c r="AJ169" s="1817">
        <v>0</v>
      </c>
      <c r="AK169" s="1820">
        <v>0</v>
      </c>
      <c r="AL169" s="1821">
        <v>0</v>
      </c>
      <c r="AM169" s="1816">
        <v>0</v>
      </c>
      <c r="AN169" s="1822">
        <v>0</v>
      </c>
      <c r="AO169" s="1816">
        <v>0</v>
      </c>
      <c r="AP169" s="1822">
        <v>0</v>
      </c>
      <c r="AQ169" s="1816">
        <v>0</v>
      </c>
      <c r="AR169" s="1822">
        <v>0</v>
      </c>
      <c r="AS169" s="1816">
        <v>0</v>
      </c>
      <c r="AT169" s="1822">
        <v>0</v>
      </c>
      <c r="AU169" s="1816">
        <v>0</v>
      </c>
      <c r="AV169" s="1822">
        <v>0</v>
      </c>
      <c r="AW169" s="1816">
        <v>0</v>
      </c>
      <c r="AX169" s="1822">
        <v>0</v>
      </c>
      <c r="AZ169" s="1814"/>
      <c r="BA169" s="1823"/>
      <c r="BD169" s="42"/>
      <c r="BI169" s="22"/>
      <c r="BJ169" s="58"/>
      <c r="BL169" s="22"/>
      <c r="BN169" s="44"/>
      <c r="BP169" s="45"/>
      <c r="BQ169" s="46"/>
      <c r="CA169">
        <v>0</v>
      </c>
      <c r="CB169" t="b">
        <f t="shared" si="19"/>
        <v>1</v>
      </c>
    </row>
    <row r="170" spans="1:80" ht="15" customHeight="1" x14ac:dyDescent="0.25">
      <c r="A170" s="22">
        <v>3098</v>
      </c>
      <c r="B170" s="23" t="s">
        <v>412</v>
      </c>
      <c r="C170" s="22" t="s">
        <v>170</v>
      </c>
      <c r="D170" s="23" t="s">
        <v>411</v>
      </c>
      <c r="E170" s="23" t="s">
        <v>237</v>
      </c>
      <c r="F170" s="22" t="s">
        <v>262</v>
      </c>
      <c r="G170" s="22" t="s">
        <v>262</v>
      </c>
      <c r="H170" s="23" t="s">
        <v>275</v>
      </c>
      <c r="I170" s="24"/>
      <c r="J170" s="1824">
        <v>8.6956519999999995E-2</v>
      </c>
      <c r="K170" s="26" t="s">
        <v>94</v>
      </c>
      <c r="L170" s="27">
        <v>0.31</v>
      </c>
      <c r="M170" s="28">
        <v>6</v>
      </c>
      <c r="N170" s="27">
        <f t="shared" si="17"/>
        <v>1.8599999999999999</v>
      </c>
      <c r="O170" s="27">
        <f t="shared" si="18"/>
        <v>0.32758506003000187</v>
      </c>
      <c r="P170" s="28">
        <v>11</v>
      </c>
      <c r="Q170" s="28">
        <v>56</v>
      </c>
      <c r="R170" s="29">
        <f t="shared" si="14"/>
        <v>616</v>
      </c>
      <c r="S170" s="30">
        <v>0.316</v>
      </c>
      <c r="T170" s="30">
        <v>0.24099999999999999</v>
      </c>
      <c r="U170" s="1825"/>
      <c r="V170" s="1826"/>
      <c r="W170" s="1827"/>
      <c r="X170" s="1828">
        <v>0</v>
      </c>
      <c r="Y170" s="1827"/>
      <c r="Z170" s="1828">
        <v>0</v>
      </c>
      <c r="AA170" s="1827"/>
      <c r="AB170" s="1828"/>
      <c r="AC170" s="1827">
        <v>0</v>
      </c>
      <c r="AD170" s="1828">
        <v>0</v>
      </c>
      <c r="AE170" s="1827">
        <v>0</v>
      </c>
      <c r="AF170" s="1828">
        <v>0</v>
      </c>
      <c r="AG170" s="1829"/>
      <c r="AH170" s="1830"/>
      <c r="AI170" s="1827">
        <v>0</v>
      </c>
      <c r="AJ170" s="1828">
        <v>0</v>
      </c>
      <c r="AK170" s="1831">
        <v>0</v>
      </c>
      <c r="AL170" s="1832">
        <v>0</v>
      </c>
      <c r="AM170" s="1827">
        <v>0</v>
      </c>
      <c r="AN170" s="1833">
        <v>0</v>
      </c>
      <c r="AO170" s="1827">
        <v>0</v>
      </c>
      <c r="AP170" s="1833">
        <v>0</v>
      </c>
      <c r="AQ170" s="1827">
        <v>0</v>
      </c>
      <c r="AR170" s="1833">
        <v>0</v>
      </c>
      <c r="AS170" s="1827">
        <v>0</v>
      </c>
      <c r="AT170" s="1833">
        <v>0</v>
      </c>
      <c r="AU170" s="1827">
        <v>0</v>
      </c>
      <c r="AV170" s="1833">
        <v>0</v>
      </c>
      <c r="AW170" s="1827">
        <v>0</v>
      </c>
      <c r="AX170" s="1833">
        <v>0</v>
      </c>
      <c r="AZ170" s="1825"/>
      <c r="BA170" s="1834"/>
      <c r="BD170" s="42"/>
      <c r="BI170" s="22"/>
      <c r="BJ170" s="58"/>
      <c r="BL170" s="22"/>
      <c r="BN170" s="44"/>
      <c r="BP170" s="45"/>
      <c r="BQ170" s="46"/>
      <c r="CA170">
        <v>0</v>
      </c>
      <c r="CB170" t="b">
        <f t="shared" si="19"/>
        <v>1</v>
      </c>
    </row>
    <row r="171" spans="1:80" ht="15" customHeight="1" x14ac:dyDescent="0.25">
      <c r="A171" s="22">
        <v>3099</v>
      </c>
      <c r="B171" s="23" t="s">
        <v>413</v>
      </c>
      <c r="C171" s="22" t="s">
        <v>170</v>
      </c>
      <c r="D171" s="23" t="s">
        <v>204</v>
      </c>
      <c r="E171" s="23" t="s">
        <v>204</v>
      </c>
      <c r="F171" s="22" t="s">
        <v>358</v>
      </c>
      <c r="G171" s="22" t="s">
        <v>358</v>
      </c>
      <c r="H171" s="23" t="s">
        <v>408</v>
      </c>
      <c r="I171" s="24" t="s">
        <v>408</v>
      </c>
      <c r="J171" s="1835">
        <v>0.1111</v>
      </c>
      <c r="K171" s="26" t="s">
        <v>94</v>
      </c>
      <c r="L171" s="27">
        <v>0.47299999999999998</v>
      </c>
      <c r="M171" s="28">
        <v>6</v>
      </c>
      <c r="N171" s="27">
        <f t="shared" si="17"/>
        <v>2.8380000000000001</v>
      </c>
      <c r="O171" s="27">
        <f t="shared" si="18"/>
        <v>0.49983139804577709</v>
      </c>
      <c r="P171" s="28">
        <v>9</v>
      </c>
      <c r="Q171" s="28">
        <v>45</v>
      </c>
      <c r="R171" s="29">
        <f t="shared" si="14"/>
        <v>405</v>
      </c>
      <c r="S171" s="30">
        <v>0</v>
      </c>
      <c r="T171" s="30">
        <v>0</v>
      </c>
      <c r="U171" s="1836">
        <v>0</v>
      </c>
      <c r="V171" s="1837">
        <v>0</v>
      </c>
      <c r="W171" s="1838">
        <v>0</v>
      </c>
      <c r="X171" s="1839">
        <v>0</v>
      </c>
      <c r="Y171" s="1838">
        <v>0</v>
      </c>
      <c r="Z171" s="1839">
        <v>0</v>
      </c>
      <c r="AA171" s="1838"/>
      <c r="AB171" s="1839">
        <v>0</v>
      </c>
      <c r="AC171" s="1838">
        <v>0</v>
      </c>
      <c r="AD171" s="1839">
        <v>0</v>
      </c>
      <c r="AE171" s="1838">
        <v>0</v>
      </c>
      <c r="AF171" s="1839">
        <v>0</v>
      </c>
      <c r="AG171" s="1840"/>
      <c r="AH171" s="1841"/>
      <c r="AI171" s="1838">
        <v>0</v>
      </c>
      <c r="AJ171" s="1839">
        <v>0</v>
      </c>
      <c r="AK171" s="1842">
        <v>0</v>
      </c>
      <c r="AL171" s="1843">
        <v>0</v>
      </c>
      <c r="AM171" s="1838">
        <v>0</v>
      </c>
      <c r="AN171" s="1844">
        <v>0</v>
      </c>
      <c r="AO171" s="1838">
        <v>0</v>
      </c>
      <c r="AP171" s="1844">
        <v>0</v>
      </c>
      <c r="AQ171" s="1838">
        <v>0</v>
      </c>
      <c r="AR171" s="1844">
        <v>0</v>
      </c>
      <c r="AS171" s="1838">
        <v>0</v>
      </c>
      <c r="AT171" s="1844">
        <v>0</v>
      </c>
      <c r="AU171" s="1838">
        <v>0</v>
      </c>
      <c r="AV171" s="1844">
        <v>0</v>
      </c>
      <c r="AW171" s="1838">
        <v>0</v>
      </c>
      <c r="AX171" s="1844">
        <v>0</v>
      </c>
      <c r="AZ171" s="1836"/>
      <c r="BA171" s="1845"/>
      <c r="BD171" s="42"/>
      <c r="BI171" s="22"/>
      <c r="BJ171" s="58"/>
      <c r="BL171" s="22"/>
      <c r="BN171" s="44"/>
      <c r="BP171" s="45"/>
      <c r="BQ171" s="46"/>
      <c r="BZ171">
        <v>0</v>
      </c>
      <c r="CA171">
        <v>0</v>
      </c>
      <c r="CB171" t="b">
        <f t="shared" si="19"/>
        <v>1</v>
      </c>
    </row>
    <row r="172" spans="1:80" ht="15" customHeight="1" x14ac:dyDescent="0.25">
      <c r="A172" s="22">
        <v>3100</v>
      </c>
      <c r="B172" s="23" t="s">
        <v>414</v>
      </c>
      <c r="C172" s="22" t="s">
        <v>170</v>
      </c>
      <c r="D172" s="23" t="s">
        <v>204</v>
      </c>
      <c r="E172" s="23" t="s">
        <v>204</v>
      </c>
      <c r="F172" s="22" t="s">
        <v>358</v>
      </c>
      <c r="G172" s="22" t="s">
        <v>358</v>
      </c>
      <c r="H172" s="23" t="s">
        <v>408</v>
      </c>
      <c r="I172" s="24" t="s">
        <v>408</v>
      </c>
      <c r="J172" s="1846">
        <v>0.1111</v>
      </c>
      <c r="K172" s="26" t="s">
        <v>94</v>
      </c>
      <c r="L172" s="27">
        <v>0.47299999999999998</v>
      </c>
      <c r="M172" s="28">
        <v>6</v>
      </c>
      <c r="N172" s="27">
        <f t="shared" si="17"/>
        <v>2.8380000000000001</v>
      </c>
      <c r="O172" s="27">
        <f t="shared" si="18"/>
        <v>0.49983139804577709</v>
      </c>
      <c r="P172" s="28">
        <v>9</v>
      </c>
      <c r="Q172" s="28">
        <v>45</v>
      </c>
      <c r="R172" s="29">
        <f t="shared" si="14"/>
        <v>405</v>
      </c>
      <c r="S172" s="30">
        <v>0</v>
      </c>
      <c r="T172" s="30">
        <v>0</v>
      </c>
      <c r="U172" s="1847">
        <v>0</v>
      </c>
      <c r="V172" s="1848">
        <v>0</v>
      </c>
      <c r="W172" s="1849">
        <v>0</v>
      </c>
      <c r="X172" s="1850">
        <v>0</v>
      </c>
      <c r="Y172" s="1849">
        <v>0</v>
      </c>
      <c r="Z172" s="1850">
        <v>0</v>
      </c>
      <c r="AA172" s="1849"/>
      <c r="AB172" s="1850">
        <v>0</v>
      </c>
      <c r="AC172" s="1849">
        <v>0</v>
      </c>
      <c r="AD172" s="1850">
        <v>0</v>
      </c>
      <c r="AE172" s="1849">
        <v>0</v>
      </c>
      <c r="AF172" s="1850">
        <v>0</v>
      </c>
      <c r="AG172" s="1851"/>
      <c r="AH172" s="1852"/>
      <c r="AI172" s="1849">
        <v>0</v>
      </c>
      <c r="AJ172" s="1850">
        <v>0</v>
      </c>
      <c r="AK172" s="1853">
        <v>0</v>
      </c>
      <c r="AL172" s="1854">
        <v>0</v>
      </c>
      <c r="AM172" s="1849">
        <v>0</v>
      </c>
      <c r="AN172" s="1855">
        <v>0</v>
      </c>
      <c r="AO172" s="1849">
        <v>0</v>
      </c>
      <c r="AP172" s="1855">
        <v>0</v>
      </c>
      <c r="AQ172" s="1849">
        <v>0</v>
      </c>
      <c r="AR172" s="1855">
        <v>0</v>
      </c>
      <c r="AS172" s="1849">
        <v>0</v>
      </c>
      <c r="AT172" s="1855">
        <v>0</v>
      </c>
      <c r="AU172" s="1849">
        <v>0</v>
      </c>
      <c r="AV172" s="1855">
        <v>0</v>
      </c>
      <c r="AW172" s="1849">
        <v>0</v>
      </c>
      <c r="AX172" s="1855">
        <v>0</v>
      </c>
      <c r="AZ172" s="1847"/>
      <c r="BA172" s="1856"/>
      <c r="BD172" s="42"/>
      <c r="BI172" s="22"/>
      <c r="BJ172" s="58"/>
      <c r="BL172" s="22"/>
      <c r="BN172" s="44"/>
      <c r="BP172" s="45"/>
      <c r="BQ172" s="46"/>
      <c r="BZ172">
        <v>0</v>
      </c>
      <c r="CA172">
        <v>0</v>
      </c>
      <c r="CB172" t="b">
        <f t="shared" si="19"/>
        <v>1</v>
      </c>
    </row>
    <row r="173" spans="1:80" ht="15" customHeight="1" x14ac:dyDescent="0.25">
      <c r="A173" s="22">
        <v>3101</v>
      </c>
      <c r="B173" s="23" t="s">
        <v>415</v>
      </c>
      <c r="C173" s="22" t="s">
        <v>170</v>
      </c>
      <c r="D173" s="23" t="s">
        <v>204</v>
      </c>
      <c r="E173" s="23" t="s">
        <v>204</v>
      </c>
      <c r="F173" s="22" t="s">
        <v>358</v>
      </c>
      <c r="G173" s="22" t="s">
        <v>358</v>
      </c>
      <c r="H173" s="23" t="s">
        <v>408</v>
      </c>
      <c r="I173" s="24" t="s">
        <v>408</v>
      </c>
      <c r="J173" s="1857">
        <v>0.1111</v>
      </c>
      <c r="K173" s="26" t="s">
        <v>94</v>
      </c>
      <c r="L173" s="27">
        <v>0.47299999999999998</v>
      </c>
      <c r="M173" s="28">
        <v>6</v>
      </c>
      <c r="N173" s="27">
        <f t="shared" si="17"/>
        <v>2.8380000000000001</v>
      </c>
      <c r="O173" s="27">
        <f t="shared" si="18"/>
        <v>0.49983139804577709</v>
      </c>
      <c r="P173" s="28">
        <v>9</v>
      </c>
      <c r="Q173" s="28">
        <v>45</v>
      </c>
      <c r="R173" s="29">
        <f t="shared" si="14"/>
        <v>405</v>
      </c>
      <c r="S173" s="30">
        <v>0</v>
      </c>
      <c r="T173" s="30">
        <v>0</v>
      </c>
      <c r="U173" s="1858">
        <v>0</v>
      </c>
      <c r="V173" s="1859">
        <v>0</v>
      </c>
      <c r="W173" s="1860">
        <v>0</v>
      </c>
      <c r="X173" s="1861">
        <v>0</v>
      </c>
      <c r="Y173" s="1860">
        <v>0</v>
      </c>
      <c r="Z173" s="1861">
        <v>0</v>
      </c>
      <c r="AA173" s="1860"/>
      <c r="AB173" s="1861">
        <v>0</v>
      </c>
      <c r="AC173" s="1860">
        <v>0</v>
      </c>
      <c r="AD173" s="1861">
        <v>0</v>
      </c>
      <c r="AE173" s="1860">
        <v>0</v>
      </c>
      <c r="AF173" s="1861">
        <v>0</v>
      </c>
      <c r="AG173" s="1862"/>
      <c r="AH173" s="1863"/>
      <c r="AI173" s="1860">
        <v>0</v>
      </c>
      <c r="AJ173" s="1861">
        <v>0</v>
      </c>
      <c r="AK173" s="1864">
        <v>0</v>
      </c>
      <c r="AL173" s="1865">
        <v>0</v>
      </c>
      <c r="AM173" s="1860">
        <v>0</v>
      </c>
      <c r="AN173" s="1866">
        <v>0</v>
      </c>
      <c r="AO173" s="1860">
        <v>0</v>
      </c>
      <c r="AP173" s="1866">
        <v>0</v>
      </c>
      <c r="AQ173" s="1860">
        <v>0</v>
      </c>
      <c r="AR173" s="1866">
        <v>0</v>
      </c>
      <c r="AS173" s="1860">
        <v>0</v>
      </c>
      <c r="AT173" s="1866">
        <v>0</v>
      </c>
      <c r="AU173" s="1860">
        <v>0</v>
      </c>
      <c r="AV173" s="1866">
        <v>0</v>
      </c>
      <c r="AW173" s="1860">
        <v>0</v>
      </c>
      <c r="AX173" s="1866">
        <v>0</v>
      </c>
      <c r="AZ173" s="1858"/>
      <c r="BA173" s="1867"/>
      <c r="BD173" s="42"/>
      <c r="BI173" s="22"/>
      <c r="BJ173" s="58"/>
      <c r="BL173" s="22"/>
      <c r="BN173" s="44"/>
      <c r="BP173" s="45"/>
      <c r="BQ173" s="46"/>
      <c r="BZ173">
        <v>0</v>
      </c>
      <c r="CA173">
        <v>0</v>
      </c>
      <c r="CB173" t="b">
        <f t="shared" si="19"/>
        <v>1</v>
      </c>
    </row>
    <row r="174" spans="1:80" ht="15" customHeight="1" x14ac:dyDescent="0.25">
      <c r="A174" s="22">
        <v>3110</v>
      </c>
      <c r="B174" s="23" t="s">
        <v>416</v>
      </c>
      <c r="C174" s="22" t="s">
        <v>170</v>
      </c>
      <c r="D174" s="23" t="s">
        <v>204</v>
      </c>
      <c r="E174" s="23" t="s">
        <v>204</v>
      </c>
      <c r="F174" s="22" t="s">
        <v>358</v>
      </c>
      <c r="G174" s="22" t="s">
        <v>358</v>
      </c>
      <c r="H174" s="23" t="s">
        <v>408</v>
      </c>
      <c r="I174" s="24" t="s">
        <v>408</v>
      </c>
      <c r="J174" s="1868">
        <v>0.1111</v>
      </c>
      <c r="K174" s="26" t="s">
        <v>94</v>
      </c>
      <c r="L174" s="27">
        <v>0.47299999999999998</v>
      </c>
      <c r="M174" s="28">
        <v>6</v>
      </c>
      <c r="N174" s="27">
        <f t="shared" si="17"/>
        <v>2.8380000000000001</v>
      </c>
      <c r="O174" s="27">
        <f t="shared" si="18"/>
        <v>0.49983139804577709</v>
      </c>
      <c r="P174" s="28">
        <v>9</v>
      </c>
      <c r="Q174" s="28">
        <v>45</v>
      </c>
      <c r="R174" s="29">
        <f t="shared" si="14"/>
        <v>405</v>
      </c>
      <c r="S174" s="30">
        <v>0</v>
      </c>
      <c r="T174" s="30">
        <v>0</v>
      </c>
      <c r="U174" s="1869">
        <v>0</v>
      </c>
      <c r="V174" s="1870">
        <v>0</v>
      </c>
      <c r="W174" s="1871">
        <v>0</v>
      </c>
      <c r="X174" s="1872">
        <v>0</v>
      </c>
      <c r="Y174" s="1871">
        <v>0</v>
      </c>
      <c r="Z174" s="1872">
        <v>0</v>
      </c>
      <c r="AA174" s="1871"/>
      <c r="AB174" s="1872">
        <v>0</v>
      </c>
      <c r="AC174" s="1871">
        <v>0</v>
      </c>
      <c r="AD174" s="1872">
        <v>0</v>
      </c>
      <c r="AE174" s="1871">
        <v>0</v>
      </c>
      <c r="AF174" s="1872">
        <v>0</v>
      </c>
      <c r="AG174" s="1873"/>
      <c r="AH174" s="1874"/>
      <c r="AI174" s="1871">
        <v>0</v>
      </c>
      <c r="AJ174" s="1872">
        <v>0</v>
      </c>
      <c r="AK174" s="1875">
        <v>0</v>
      </c>
      <c r="AL174" s="1876">
        <v>0</v>
      </c>
      <c r="AM174" s="1871">
        <v>0</v>
      </c>
      <c r="AN174" s="1877">
        <v>0</v>
      </c>
      <c r="AO174" s="1871">
        <v>0</v>
      </c>
      <c r="AP174" s="1877">
        <v>0</v>
      </c>
      <c r="AQ174" s="1871">
        <v>0</v>
      </c>
      <c r="AR174" s="1877">
        <v>0</v>
      </c>
      <c r="AS174" s="1871">
        <v>0</v>
      </c>
      <c r="AT174" s="1877">
        <v>0</v>
      </c>
      <c r="AU174" s="1871">
        <v>0</v>
      </c>
      <c r="AV174" s="1877">
        <v>0</v>
      </c>
      <c r="AW174" s="1871">
        <v>0</v>
      </c>
      <c r="AX174" s="1877">
        <v>0</v>
      </c>
      <c r="AZ174" s="1869"/>
      <c r="BA174" s="1878"/>
      <c r="BD174" s="42"/>
      <c r="BI174" s="22"/>
      <c r="BJ174" s="58"/>
      <c r="BL174" s="22"/>
      <c r="BN174" s="44"/>
      <c r="BP174" s="45"/>
      <c r="BQ174" s="46"/>
      <c r="BZ174">
        <v>0</v>
      </c>
      <c r="CA174">
        <v>0</v>
      </c>
      <c r="CB174" t="b">
        <f t="shared" si="19"/>
        <v>1</v>
      </c>
    </row>
    <row r="175" spans="1:80" ht="15" customHeight="1" x14ac:dyDescent="0.25">
      <c r="A175" s="22">
        <v>3111</v>
      </c>
      <c r="B175" s="23" t="s">
        <v>417</v>
      </c>
      <c r="C175" s="22" t="s">
        <v>170</v>
      </c>
      <c r="D175" s="23" t="s">
        <v>204</v>
      </c>
      <c r="E175" s="23" t="s">
        <v>204</v>
      </c>
      <c r="F175" s="22" t="s">
        <v>358</v>
      </c>
      <c r="G175" s="22" t="s">
        <v>358</v>
      </c>
      <c r="H175" s="23" t="s">
        <v>408</v>
      </c>
      <c r="I175" s="24" t="s">
        <v>408</v>
      </c>
      <c r="J175" s="1879">
        <v>0.1111</v>
      </c>
      <c r="K175" s="26" t="s">
        <v>94</v>
      </c>
      <c r="L175" s="27">
        <v>0.47299999999999998</v>
      </c>
      <c r="M175" s="28">
        <v>6</v>
      </c>
      <c r="N175" s="27">
        <f t="shared" si="17"/>
        <v>2.8380000000000001</v>
      </c>
      <c r="O175" s="27">
        <f t="shared" si="18"/>
        <v>0.49983139804577709</v>
      </c>
      <c r="P175" s="28">
        <v>9</v>
      </c>
      <c r="Q175" s="28">
        <v>45</v>
      </c>
      <c r="R175" s="29">
        <f t="shared" si="14"/>
        <v>405</v>
      </c>
      <c r="S175" s="30">
        <v>0</v>
      </c>
      <c r="T175" s="30">
        <v>0</v>
      </c>
      <c r="U175" s="1880">
        <v>0</v>
      </c>
      <c r="V175" s="1881">
        <v>0</v>
      </c>
      <c r="W175" s="1882">
        <v>0</v>
      </c>
      <c r="X175" s="1883">
        <v>0</v>
      </c>
      <c r="Y175" s="1882">
        <v>0</v>
      </c>
      <c r="Z175" s="1883">
        <v>0</v>
      </c>
      <c r="AA175" s="1882"/>
      <c r="AB175" s="1883">
        <v>0</v>
      </c>
      <c r="AC175" s="1882">
        <v>0</v>
      </c>
      <c r="AD175" s="1883">
        <v>0</v>
      </c>
      <c r="AE175" s="1882">
        <v>0</v>
      </c>
      <c r="AF175" s="1883">
        <v>0</v>
      </c>
      <c r="AG175" s="1884"/>
      <c r="AH175" s="1885"/>
      <c r="AI175" s="1882">
        <v>0</v>
      </c>
      <c r="AJ175" s="1883">
        <v>0</v>
      </c>
      <c r="AK175" s="1886">
        <v>0</v>
      </c>
      <c r="AL175" s="1887">
        <v>0</v>
      </c>
      <c r="AM175" s="1882">
        <v>0</v>
      </c>
      <c r="AN175" s="1888">
        <v>0</v>
      </c>
      <c r="AO175" s="1882">
        <v>0</v>
      </c>
      <c r="AP175" s="1888">
        <v>0</v>
      </c>
      <c r="AQ175" s="1882">
        <v>0</v>
      </c>
      <c r="AR175" s="1888">
        <v>0</v>
      </c>
      <c r="AS175" s="1882">
        <v>0</v>
      </c>
      <c r="AT175" s="1888">
        <v>0</v>
      </c>
      <c r="AU175" s="1882">
        <v>0</v>
      </c>
      <c r="AV175" s="1888">
        <v>0</v>
      </c>
      <c r="AW175" s="1882">
        <v>0</v>
      </c>
      <c r="AX175" s="1888">
        <v>0</v>
      </c>
      <c r="AZ175" s="1880"/>
      <c r="BA175" s="1889"/>
      <c r="BD175" s="42"/>
      <c r="BI175" s="22"/>
      <c r="BJ175" s="58"/>
      <c r="BL175" s="22"/>
      <c r="BN175" s="44"/>
      <c r="BP175" s="45"/>
      <c r="BQ175" s="46"/>
      <c r="BZ175">
        <v>0</v>
      </c>
      <c r="CA175">
        <v>0</v>
      </c>
      <c r="CB175" t="b">
        <f t="shared" si="19"/>
        <v>1</v>
      </c>
    </row>
    <row r="176" spans="1:80" ht="15" customHeight="1" x14ac:dyDescent="0.25">
      <c r="A176" s="22">
        <v>3112</v>
      </c>
      <c r="B176" s="23" t="s">
        <v>418</v>
      </c>
      <c r="C176" s="22" t="s">
        <v>170</v>
      </c>
      <c r="D176" s="23" t="s">
        <v>204</v>
      </c>
      <c r="E176" s="23" t="s">
        <v>204</v>
      </c>
      <c r="F176" s="22" t="s">
        <v>358</v>
      </c>
      <c r="G176" s="22" t="s">
        <v>358</v>
      </c>
      <c r="H176" s="23" t="s">
        <v>408</v>
      </c>
      <c r="I176" s="24" t="s">
        <v>408</v>
      </c>
      <c r="J176" s="1890">
        <v>0.1111</v>
      </c>
      <c r="K176" s="26" t="s">
        <v>94</v>
      </c>
      <c r="L176" s="27">
        <v>0.47299999999999998</v>
      </c>
      <c r="M176" s="28">
        <v>6</v>
      </c>
      <c r="N176" s="27">
        <f t="shared" si="17"/>
        <v>2.8380000000000001</v>
      </c>
      <c r="O176" s="27">
        <f t="shared" si="18"/>
        <v>0.49983139804577709</v>
      </c>
      <c r="P176" s="28">
        <v>9</v>
      </c>
      <c r="Q176" s="28">
        <v>45</v>
      </c>
      <c r="R176" s="29">
        <f t="shared" si="14"/>
        <v>405</v>
      </c>
      <c r="S176" s="30">
        <v>0</v>
      </c>
      <c r="T176" s="30">
        <v>0</v>
      </c>
      <c r="U176" s="1891">
        <v>0</v>
      </c>
      <c r="V176" s="1892">
        <v>0</v>
      </c>
      <c r="W176" s="1893">
        <v>0</v>
      </c>
      <c r="X176" s="1894">
        <v>0</v>
      </c>
      <c r="Y176" s="1893">
        <v>0</v>
      </c>
      <c r="Z176" s="1894">
        <v>0</v>
      </c>
      <c r="AA176" s="1893"/>
      <c r="AB176" s="1894">
        <v>0</v>
      </c>
      <c r="AC176" s="1893">
        <v>0</v>
      </c>
      <c r="AD176" s="1894">
        <v>0</v>
      </c>
      <c r="AE176" s="1893">
        <v>0</v>
      </c>
      <c r="AF176" s="1894">
        <v>0</v>
      </c>
      <c r="AG176" s="1895"/>
      <c r="AH176" s="1896"/>
      <c r="AI176" s="1893">
        <v>0</v>
      </c>
      <c r="AJ176" s="1894">
        <v>0</v>
      </c>
      <c r="AK176" s="1897">
        <v>0</v>
      </c>
      <c r="AL176" s="1898">
        <v>0</v>
      </c>
      <c r="AM176" s="1893">
        <v>0</v>
      </c>
      <c r="AN176" s="1899">
        <v>0</v>
      </c>
      <c r="AO176" s="1893">
        <v>0</v>
      </c>
      <c r="AP176" s="1899">
        <v>0</v>
      </c>
      <c r="AQ176" s="1893">
        <v>0</v>
      </c>
      <c r="AR176" s="1899">
        <v>0</v>
      </c>
      <c r="AS176" s="1893">
        <v>0</v>
      </c>
      <c r="AT176" s="1899">
        <v>0</v>
      </c>
      <c r="AU176" s="1893">
        <v>0</v>
      </c>
      <c r="AV176" s="1899">
        <v>0</v>
      </c>
      <c r="AW176" s="1893">
        <v>0</v>
      </c>
      <c r="AX176" s="1899">
        <v>0</v>
      </c>
      <c r="AZ176" s="1891"/>
      <c r="BA176" s="1900"/>
      <c r="BD176" s="42"/>
      <c r="BI176" s="22"/>
      <c r="BJ176" s="58"/>
      <c r="BL176" s="22"/>
      <c r="BN176" s="44"/>
      <c r="BP176" s="45"/>
      <c r="BQ176" s="46"/>
      <c r="BZ176">
        <v>0</v>
      </c>
      <c r="CA176">
        <v>0</v>
      </c>
      <c r="CB176" t="b">
        <f t="shared" si="19"/>
        <v>1</v>
      </c>
    </row>
    <row r="177" spans="1:80" ht="15" customHeight="1" x14ac:dyDescent="0.25">
      <c r="A177" s="22">
        <v>3116</v>
      </c>
      <c r="B177" s="23" t="s">
        <v>419</v>
      </c>
      <c r="C177" s="22" t="s">
        <v>170</v>
      </c>
      <c r="D177" s="23" t="s">
        <v>204</v>
      </c>
      <c r="E177" s="23" t="s">
        <v>204</v>
      </c>
      <c r="F177" s="22" t="s">
        <v>358</v>
      </c>
      <c r="G177" s="22" t="s">
        <v>358</v>
      </c>
      <c r="H177" s="23" t="s">
        <v>408</v>
      </c>
      <c r="I177" s="24" t="s">
        <v>408</v>
      </c>
      <c r="J177" s="1901">
        <v>0.1111</v>
      </c>
      <c r="K177" s="26" t="s">
        <v>94</v>
      </c>
      <c r="L177" s="27">
        <v>0.47299999999999998</v>
      </c>
      <c r="M177" s="28">
        <v>6</v>
      </c>
      <c r="N177" s="27">
        <f t="shared" si="17"/>
        <v>2.8380000000000001</v>
      </c>
      <c r="O177" s="27">
        <f t="shared" si="18"/>
        <v>0.49983139804577709</v>
      </c>
      <c r="P177" s="28">
        <v>9</v>
      </c>
      <c r="Q177" s="28">
        <v>45</v>
      </c>
      <c r="R177" s="29">
        <f t="shared" si="14"/>
        <v>405</v>
      </c>
      <c r="S177" s="30">
        <v>0</v>
      </c>
      <c r="T177" s="30">
        <v>0</v>
      </c>
      <c r="U177" s="1902">
        <v>0</v>
      </c>
      <c r="V177" s="1903">
        <v>0</v>
      </c>
      <c r="W177" s="1904">
        <v>0</v>
      </c>
      <c r="X177" s="1905">
        <v>0</v>
      </c>
      <c r="Y177" s="1904">
        <v>0</v>
      </c>
      <c r="Z177" s="1905">
        <v>0</v>
      </c>
      <c r="AA177" s="1904"/>
      <c r="AB177" s="1905">
        <v>0</v>
      </c>
      <c r="AC177" s="1904">
        <v>0</v>
      </c>
      <c r="AD177" s="1905">
        <v>0</v>
      </c>
      <c r="AE177" s="1904">
        <v>0</v>
      </c>
      <c r="AF177" s="1905">
        <v>0</v>
      </c>
      <c r="AG177" s="1906"/>
      <c r="AH177" s="1907"/>
      <c r="AI177" s="1904">
        <v>0</v>
      </c>
      <c r="AJ177" s="1905">
        <v>0</v>
      </c>
      <c r="AK177" s="1908">
        <v>0</v>
      </c>
      <c r="AL177" s="1909">
        <v>0</v>
      </c>
      <c r="AM177" s="1904">
        <v>0</v>
      </c>
      <c r="AN177" s="1910">
        <v>0</v>
      </c>
      <c r="AO177" s="1904">
        <v>0</v>
      </c>
      <c r="AP177" s="1910">
        <v>0</v>
      </c>
      <c r="AQ177" s="1904">
        <v>0</v>
      </c>
      <c r="AR177" s="1910">
        <v>0</v>
      </c>
      <c r="AS177" s="1904">
        <v>0</v>
      </c>
      <c r="AT177" s="1910">
        <v>0</v>
      </c>
      <c r="AU177" s="1904">
        <v>0</v>
      </c>
      <c r="AV177" s="1910">
        <v>0</v>
      </c>
      <c r="AW177" s="1904">
        <v>0</v>
      </c>
      <c r="AX177" s="1910">
        <v>0</v>
      </c>
      <c r="AZ177" s="1902"/>
      <c r="BA177" s="1911"/>
      <c r="BD177" s="42"/>
      <c r="BI177" s="22"/>
      <c r="BJ177" s="58"/>
      <c r="BL177" s="22"/>
      <c r="BN177" s="44"/>
      <c r="BP177" s="45"/>
      <c r="BQ177" s="46"/>
      <c r="BZ177">
        <v>0</v>
      </c>
      <c r="CA177">
        <v>0</v>
      </c>
      <c r="CB177" t="b">
        <f t="shared" si="19"/>
        <v>1</v>
      </c>
    </row>
    <row r="178" spans="1:80" ht="15" customHeight="1" x14ac:dyDescent="0.25">
      <c r="A178" s="22">
        <v>3205</v>
      </c>
      <c r="B178" s="23" t="s">
        <v>420</v>
      </c>
      <c r="C178" s="22" t="s">
        <v>170</v>
      </c>
      <c r="D178" s="23" t="s">
        <v>204</v>
      </c>
      <c r="E178" s="23" t="s">
        <v>204</v>
      </c>
      <c r="F178" s="22" t="s">
        <v>358</v>
      </c>
      <c r="G178" s="22" t="s">
        <v>358</v>
      </c>
      <c r="H178" s="23" t="s">
        <v>408</v>
      </c>
      <c r="I178" s="24" t="s">
        <v>408</v>
      </c>
      <c r="J178" s="1912">
        <v>0.1111</v>
      </c>
      <c r="K178" s="26" t="s">
        <v>94</v>
      </c>
      <c r="L178" s="27">
        <v>0.47299999999999998</v>
      </c>
      <c r="M178" s="28">
        <v>6</v>
      </c>
      <c r="N178" s="27">
        <f t="shared" si="17"/>
        <v>2.8380000000000001</v>
      </c>
      <c r="O178" s="27">
        <f t="shared" si="18"/>
        <v>0.49983139804577709</v>
      </c>
      <c r="P178" s="28">
        <v>9</v>
      </c>
      <c r="Q178" s="28">
        <v>45</v>
      </c>
      <c r="R178" s="29">
        <f t="shared" si="14"/>
        <v>405</v>
      </c>
      <c r="S178" s="30">
        <v>0</v>
      </c>
      <c r="T178" s="30">
        <v>0</v>
      </c>
      <c r="U178" s="1913"/>
      <c r="V178" s="1914"/>
      <c r="W178" s="1915"/>
      <c r="X178" s="1916">
        <v>0</v>
      </c>
      <c r="Y178" s="1915"/>
      <c r="Z178" s="1916">
        <v>0</v>
      </c>
      <c r="AA178" s="1915"/>
      <c r="AB178" s="1916"/>
      <c r="AC178" s="1915">
        <v>0</v>
      </c>
      <c r="AD178" s="1916">
        <v>0</v>
      </c>
      <c r="AE178" s="1915">
        <v>0</v>
      </c>
      <c r="AF178" s="1916">
        <v>0</v>
      </c>
      <c r="AG178" s="1917"/>
      <c r="AH178" s="1918"/>
      <c r="AI178" s="1915">
        <v>0</v>
      </c>
      <c r="AJ178" s="1916">
        <v>0</v>
      </c>
      <c r="AK178" s="1919">
        <v>0</v>
      </c>
      <c r="AL178" s="1920">
        <v>0</v>
      </c>
      <c r="AM178" s="1915">
        <v>0</v>
      </c>
      <c r="AN178" s="1921">
        <v>0</v>
      </c>
      <c r="AO178" s="1915">
        <v>0</v>
      </c>
      <c r="AP178" s="1921">
        <v>0</v>
      </c>
      <c r="AQ178" s="1915">
        <v>0</v>
      </c>
      <c r="AR178" s="1921">
        <v>0</v>
      </c>
      <c r="AS178" s="1915">
        <v>0</v>
      </c>
      <c r="AT178" s="1921">
        <v>0</v>
      </c>
      <c r="AU178" s="1915">
        <v>0</v>
      </c>
      <c r="AV178" s="1921">
        <v>0</v>
      </c>
      <c r="AW178" s="1915">
        <v>0</v>
      </c>
      <c r="AX178" s="1921">
        <v>0</v>
      </c>
      <c r="AZ178" s="1913"/>
      <c r="BA178" s="1922"/>
      <c r="BD178" s="42"/>
      <c r="BI178" s="22"/>
      <c r="BJ178" s="58"/>
      <c r="BL178" s="22"/>
      <c r="BN178" s="44"/>
      <c r="BP178" s="45"/>
      <c r="BQ178" s="46"/>
      <c r="CA178">
        <v>0</v>
      </c>
      <c r="CB178" t="b">
        <f t="shared" si="19"/>
        <v>1</v>
      </c>
    </row>
    <row r="179" spans="1:80" ht="15" customHeight="1" x14ac:dyDescent="0.25">
      <c r="A179" s="22">
        <v>3206</v>
      </c>
      <c r="B179" s="23" t="s">
        <v>415</v>
      </c>
      <c r="C179" s="22" t="s">
        <v>170</v>
      </c>
      <c r="D179" s="23" t="s">
        <v>204</v>
      </c>
      <c r="E179" s="23" t="s">
        <v>204</v>
      </c>
      <c r="F179" s="22" t="s">
        <v>358</v>
      </c>
      <c r="G179" s="22" t="s">
        <v>358</v>
      </c>
      <c r="H179" s="23" t="s">
        <v>408</v>
      </c>
      <c r="I179" s="24"/>
      <c r="J179" s="1923"/>
      <c r="K179" s="26" t="s">
        <v>94</v>
      </c>
      <c r="L179" s="27">
        <v>0.47299999999999998</v>
      </c>
      <c r="M179" s="28">
        <v>6</v>
      </c>
      <c r="N179" s="27">
        <f t="shared" si="17"/>
        <v>2.8380000000000001</v>
      </c>
      <c r="O179" s="27">
        <f t="shared" si="18"/>
        <v>0.49983139804577709</v>
      </c>
      <c r="P179" s="28">
        <v>9</v>
      </c>
      <c r="Q179" s="28">
        <v>45</v>
      </c>
      <c r="R179" s="29">
        <f t="shared" si="14"/>
        <v>405</v>
      </c>
      <c r="S179" s="30">
        <v>0</v>
      </c>
      <c r="T179" s="30">
        <v>0</v>
      </c>
      <c r="U179" s="1924"/>
      <c r="V179" s="1925"/>
      <c r="W179" s="1926"/>
      <c r="X179" s="1927">
        <v>0</v>
      </c>
      <c r="Y179" s="1926"/>
      <c r="Z179" s="1927">
        <v>0</v>
      </c>
      <c r="AA179" s="1926"/>
      <c r="AB179" s="1927"/>
      <c r="AC179" s="1926">
        <v>0</v>
      </c>
      <c r="AD179" s="1927">
        <v>0</v>
      </c>
      <c r="AE179" s="1926">
        <v>0</v>
      </c>
      <c r="AF179" s="1927">
        <v>0</v>
      </c>
      <c r="AG179" s="1928"/>
      <c r="AH179" s="1929"/>
      <c r="AI179" s="1926">
        <v>0</v>
      </c>
      <c r="AJ179" s="1927">
        <v>0</v>
      </c>
      <c r="AK179" s="1930">
        <v>0</v>
      </c>
      <c r="AL179" s="1931">
        <v>0</v>
      </c>
      <c r="AM179" s="1926">
        <v>0</v>
      </c>
      <c r="AN179" s="1932">
        <v>0</v>
      </c>
      <c r="AO179" s="1926">
        <v>0</v>
      </c>
      <c r="AP179" s="1932">
        <v>0</v>
      </c>
      <c r="AQ179" s="1926">
        <v>0</v>
      </c>
      <c r="AR179" s="1932">
        <v>0</v>
      </c>
      <c r="AS179" s="1926">
        <v>0</v>
      </c>
      <c r="AT179" s="1932">
        <v>0</v>
      </c>
      <c r="AU179" s="1926">
        <v>0</v>
      </c>
      <c r="AV179" s="1932">
        <v>0</v>
      </c>
      <c r="AW179" s="1926">
        <v>0</v>
      </c>
      <c r="AX179" s="1932">
        <v>0</v>
      </c>
      <c r="AZ179" s="1924"/>
      <c r="BA179" s="1933"/>
      <c r="BD179" s="42"/>
      <c r="BI179" s="22"/>
      <c r="BJ179" s="58"/>
      <c r="BL179" s="22"/>
      <c r="BN179" s="44"/>
      <c r="BP179" s="45"/>
      <c r="BQ179" s="46"/>
      <c r="CA179">
        <v>0</v>
      </c>
      <c r="CB179" t="b">
        <f t="shared" si="19"/>
        <v>1</v>
      </c>
    </row>
    <row r="180" spans="1:80" ht="15" customHeight="1" x14ac:dyDescent="0.25">
      <c r="A180" s="22">
        <v>3209</v>
      </c>
      <c r="B180" s="23" t="s">
        <v>421</v>
      </c>
      <c r="C180" s="22" t="s">
        <v>170</v>
      </c>
      <c r="D180" s="23" t="s">
        <v>204</v>
      </c>
      <c r="E180" s="23" t="s">
        <v>204</v>
      </c>
      <c r="F180" s="22" t="s">
        <v>358</v>
      </c>
      <c r="G180" s="22" t="s">
        <v>358</v>
      </c>
      <c r="H180" s="23" t="s">
        <v>408</v>
      </c>
      <c r="I180" s="24" t="s">
        <v>408</v>
      </c>
      <c r="J180" s="1934">
        <v>0.1111</v>
      </c>
      <c r="K180" s="26" t="s">
        <v>94</v>
      </c>
      <c r="L180" s="27">
        <v>0.47299999999999998</v>
      </c>
      <c r="M180" s="28">
        <v>6</v>
      </c>
      <c r="N180" s="27">
        <f t="shared" si="17"/>
        <v>2.8380000000000001</v>
      </c>
      <c r="O180" s="27">
        <f t="shared" si="18"/>
        <v>0.49983139804577709</v>
      </c>
      <c r="P180" s="28">
        <v>9</v>
      </c>
      <c r="Q180" s="28">
        <v>45</v>
      </c>
      <c r="R180" s="29">
        <f t="shared" si="14"/>
        <v>405</v>
      </c>
      <c r="S180" s="30">
        <v>0</v>
      </c>
      <c r="T180" s="30">
        <v>0</v>
      </c>
      <c r="U180" s="1935">
        <v>0</v>
      </c>
      <c r="V180" s="1936"/>
      <c r="W180" s="1937"/>
      <c r="X180" s="1938">
        <v>0</v>
      </c>
      <c r="Y180" s="1937"/>
      <c r="Z180" s="1938">
        <v>0</v>
      </c>
      <c r="AA180" s="1937"/>
      <c r="AB180" s="1938"/>
      <c r="AC180" s="1937">
        <v>0</v>
      </c>
      <c r="AD180" s="1938">
        <v>0</v>
      </c>
      <c r="AE180" s="1937">
        <v>0</v>
      </c>
      <c r="AF180" s="1938">
        <v>0</v>
      </c>
      <c r="AG180" s="1939"/>
      <c r="AH180" s="1940"/>
      <c r="AI180" s="1937">
        <v>0</v>
      </c>
      <c r="AJ180" s="1938">
        <v>0</v>
      </c>
      <c r="AK180" s="1941">
        <v>0</v>
      </c>
      <c r="AL180" s="1942">
        <v>0</v>
      </c>
      <c r="AM180" s="1937">
        <v>0</v>
      </c>
      <c r="AN180" s="1943">
        <v>0</v>
      </c>
      <c r="AO180" s="1937">
        <v>0</v>
      </c>
      <c r="AP180" s="1943">
        <v>0</v>
      </c>
      <c r="AQ180" s="1937">
        <v>0</v>
      </c>
      <c r="AR180" s="1943">
        <v>0</v>
      </c>
      <c r="AS180" s="1937">
        <v>0</v>
      </c>
      <c r="AT180" s="1943">
        <v>0</v>
      </c>
      <c r="AU180" s="1937">
        <v>0</v>
      </c>
      <c r="AV180" s="1943">
        <v>0</v>
      </c>
      <c r="AW180" s="1937">
        <v>0</v>
      </c>
      <c r="AX180" s="1943">
        <v>0</v>
      </c>
      <c r="AZ180" s="1935"/>
      <c r="BA180" s="1944"/>
      <c r="BD180" s="42"/>
      <c r="BI180" s="22"/>
      <c r="BJ180" s="58"/>
      <c r="BL180" s="22"/>
      <c r="BN180" s="44"/>
      <c r="BP180" s="45"/>
      <c r="BQ180" s="46"/>
      <c r="BZ180">
        <v>0</v>
      </c>
      <c r="CA180">
        <v>0</v>
      </c>
      <c r="CB180" t="b">
        <f t="shared" si="19"/>
        <v>1</v>
      </c>
    </row>
    <row r="181" spans="1:80" ht="15" customHeight="1" x14ac:dyDescent="0.25">
      <c r="A181" s="22">
        <v>3211</v>
      </c>
      <c r="B181" s="23" t="s">
        <v>417</v>
      </c>
      <c r="C181" s="22" t="s">
        <v>170</v>
      </c>
      <c r="D181" s="23" t="s">
        <v>204</v>
      </c>
      <c r="E181" s="23" t="s">
        <v>204</v>
      </c>
      <c r="F181" s="22" t="s">
        <v>358</v>
      </c>
      <c r="G181" s="22" t="s">
        <v>358</v>
      </c>
      <c r="H181" s="23" t="s">
        <v>408</v>
      </c>
      <c r="I181" s="24" t="s">
        <v>408</v>
      </c>
      <c r="J181" s="1945">
        <v>0.1111</v>
      </c>
      <c r="K181" s="26" t="s">
        <v>94</v>
      </c>
      <c r="L181" s="27">
        <v>0.47299999999999998</v>
      </c>
      <c r="M181" s="28">
        <v>6</v>
      </c>
      <c r="N181" s="27">
        <f t="shared" si="17"/>
        <v>2.8380000000000001</v>
      </c>
      <c r="O181" s="27">
        <f t="shared" si="18"/>
        <v>0.49983139804577709</v>
      </c>
      <c r="P181" s="28">
        <v>9</v>
      </c>
      <c r="Q181" s="28">
        <v>45</v>
      </c>
      <c r="R181" s="29">
        <f t="shared" ref="R181:R189" si="22">P181*Q181</f>
        <v>405</v>
      </c>
      <c r="S181" s="30">
        <v>0</v>
      </c>
      <c r="T181" s="30">
        <v>0</v>
      </c>
      <c r="U181" s="1946">
        <v>0</v>
      </c>
      <c r="V181" s="1947"/>
      <c r="W181" s="1948"/>
      <c r="X181" s="1949">
        <v>0</v>
      </c>
      <c r="Y181" s="1948"/>
      <c r="Z181" s="1949">
        <v>0</v>
      </c>
      <c r="AA181" s="1948"/>
      <c r="AB181" s="1949"/>
      <c r="AC181" s="1948">
        <v>0</v>
      </c>
      <c r="AD181" s="1949">
        <v>0</v>
      </c>
      <c r="AE181" s="1948">
        <v>0</v>
      </c>
      <c r="AF181" s="1949">
        <v>0</v>
      </c>
      <c r="AG181" s="1950"/>
      <c r="AH181" s="1951"/>
      <c r="AI181" s="1948">
        <v>0</v>
      </c>
      <c r="AJ181" s="1949">
        <v>0</v>
      </c>
      <c r="AK181" s="1952">
        <v>0</v>
      </c>
      <c r="AL181" s="1953">
        <v>0</v>
      </c>
      <c r="AM181" s="1948">
        <v>0</v>
      </c>
      <c r="AN181" s="1954">
        <v>0</v>
      </c>
      <c r="AO181" s="1948">
        <v>0</v>
      </c>
      <c r="AP181" s="1954">
        <v>0</v>
      </c>
      <c r="AQ181" s="1948">
        <v>0</v>
      </c>
      <c r="AR181" s="1954">
        <v>0</v>
      </c>
      <c r="AS181" s="1948">
        <v>0</v>
      </c>
      <c r="AT181" s="1954">
        <v>0</v>
      </c>
      <c r="AU181" s="1948">
        <v>0</v>
      </c>
      <c r="AV181" s="1954">
        <v>0</v>
      </c>
      <c r="AW181" s="1948">
        <v>0</v>
      </c>
      <c r="AX181" s="1954">
        <v>0</v>
      </c>
      <c r="AZ181" s="1946"/>
      <c r="BA181" s="1955"/>
      <c r="BD181" s="42"/>
      <c r="BI181" s="22"/>
      <c r="BJ181" s="58"/>
      <c r="BL181" s="22"/>
      <c r="BN181" s="44"/>
      <c r="BP181" s="45"/>
      <c r="BQ181" s="46"/>
      <c r="BZ181">
        <v>0</v>
      </c>
      <c r="CA181">
        <v>0</v>
      </c>
      <c r="CB181" t="b">
        <f t="shared" si="19"/>
        <v>1</v>
      </c>
    </row>
    <row r="182" spans="1:80" ht="15" customHeight="1" x14ac:dyDescent="0.25">
      <c r="A182" s="22">
        <v>3212</v>
      </c>
      <c r="B182" s="23" t="s">
        <v>422</v>
      </c>
      <c r="C182" s="22" t="s">
        <v>170</v>
      </c>
      <c r="D182" s="23" t="s">
        <v>204</v>
      </c>
      <c r="E182" s="23" t="s">
        <v>204</v>
      </c>
      <c r="F182" s="22" t="s">
        <v>358</v>
      </c>
      <c r="G182" s="22" t="s">
        <v>358</v>
      </c>
      <c r="H182" s="23" t="s">
        <v>408</v>
      </c>
      <c r="I182" s="24" t="s">
        <v>408</v>
      </c>
      <c r="J182" s="1956">
        <v>0.1111</v>
      </c>
      <c r="K182" s="26" t="s">
        <v>94</v>
      </c>
      <c r="L182" s="27">
        <v>0.47299999999999998</v>
      </c>
      <c r="M182" s="28">
        <v>6</v>
      </c>
      <c r="N182" s="27">
        <f t="shared" si="17"/>
        <v>2.8380000000000001</v>
      </c>
      <c r="O182" s="27">
        <f t="shared" si="18"/>
        <v>0.49983139804577709</v>
      </c>
      <c r="P182" s="28">
        <v>9</v>
      </c>
      <c r="Q182" s="28">
        <v>45</v>
      </c>
      <c r="R182" s="29">
        <f t="shared" si="22"/>
        <v>405</v>
      </c>
      <c r="S182" s="30">
        <v>0</v>
      </c>
      <c r="T182" s="30">
        <v>0</v>
      </c>
      <c r="U182" s="1957">
        <v>0</v>
      </c>
      <c r="V182" s="1958"/>
      <c r="W182" s="1959"/>
      <c r="X182" s="1960">
        <v>0</v>
      </c>
      <c r="Y182" s="1959"/>
      <c r="Z182" s="1960">
        <v>0</v>
      </c>
      <c r="AA182" s="1959"/>
      <c r="AB182" s="1960"/>
      <c r="AC182" s="1959">
        <v>0</v>
      </c>
      <c r="AD182" s="1960">
        <v>0</v>
      </c>
      <c r="AE182" s="1959">
        <v>0</v>
      </c>
      <c r="AF182" s="1960">
        <v>0</v>
      </c>
      <c r="AG182" s="1961"/>
      <c r="AH182" s="1962"/>
      <c r="AI182" s="1959">
        <v>0</v>
      </c>
      <c r="AJ182" s="1960">
        <v>0</v>
      </c>
      <c r="AK182" s="1963">
        <v>0</v>
      </c>
      <c r="AL182" s="1964">
        <v>0</v>
      </c>
      <c r="AM182" s="1959">
        <v>0</v>
      </c>
      <c r="AN182" s="1965">
        <v>0</v>
      </c>
      <c r="AO182" s="1959">
        <v>0</v>
      </c>
      <c r="AP182" s="1965">
        <v>0</v>
      </c>
      <c r="AQ182" s="1959">
        <v>0</v>
      </c>
      <c r="AR182" s="1965">
        <v>0</v>
      </c>
      <c r="AS182" s="1959">
        <v>0</v>
      </c>
      <c r="AT182" s="1965">
        <v>0</v>
      </c>
      <c r="AU182" s="1959">
        <v>0</v>
      </c>
      <c r="AV182" s="1965">
        <v>0</v>
      </c>
      <c r="AW182" s="1959">
        <v>0</v>
      </c>
      <c r="AX182" s="1965">
        <v>0</v>
      </c>
      <c r="AZ182" s="1957"/>
      <c r="BA182" s="1966"/>
      <c r="BD182" s="42"/>
      <c r="BI182" s="22"/>
      <c r="BJ182" s="58"/>
      <c r="BL182" s="22"/>
      <c r="BN182" s="44"/>
      <c r="BP182" s="45"/>
      <c r="BQ182" s="46"/>
      <c r="BZ182">
        <v>0</v>
      </c>
      <c r="CA182">
        <v>0</v>
      </c>
      <c r="CB182" t="b">
        <f t="shared" si="19"/>
        <v>1</v>
      </c>
    </row>
    <row r="183" spans="1:80" ht="15" customHeight="1" x14ac:dyDescent="0.25">
      <c r="A183" s="22">
        <v>3305</v>
      </c>
      <c r="B183" s="23" t="s">
        <v>423</v>
      </c>
      <c r="C183" s="22" t="s">
        <v>170</v>
      </c>
      <c r="D183" s="23" t="s">
        <v>241</v>
      </c>
      <c r="E183" s="23" t="s">
        <v>241</v>
      </c>
      <c r="F183" s="22" t="s">
        <v>242</v>
      </c>
      <c r="G183" s="22" t="s">
        <v>163</v>
      </c>
      <c r="H183" s="23" t="s">
        <v>242</v>
      </c>
      <c r="I183" s="24"/>
      <c r="J183" s="1967"/>
      <c r="K183" s="26" t="s">
        <v>94</v>
      </c>
      <c r="L183" s="27">
        <v>0.3</v>
      </c>
      <c r="M183" s="28">
        <v>6</v>
      </c>
      <c r="N183" s="27">
        <f t="shared" si="17"/>
        <v>1.7999999999999998</v>
      </c>
      <c r="O183" s="27">
        <f t="shared" si="18"/>
        <v>0.31701780002903407</v>
      </c>
      <c r="P183" s="28">
        <v>9</v>
      </c>
      <c r="Q183" s="28">
        <v>63</v>
      </c>
      <c r="R183" s="29">
        <f t="shared" si="22"/>
        <v>567</v>
      </c>
      <c r="S183" s="30">
        <v>0.2</v>
      </c>
      <c r="T183" s="30">
        <v>0.15</v>
      </c>
      <c r="U183" s="1968"/>
      <c r="V183" s="1969"/>
      <c r="W183" s="1970"/>
      <c r="X183" s="1971">
        <v>0</v>
      </c>
      <c r="Y183" s="1970"/>
      <c r="Z183" s="1971">
        <v>0</v>
      </c>
      <c r="AA183" s="1970"/>
      <c r="AB183" s="1971"/>
      <c r="AC183" s="1970">
        <v>0</v>
      </c>
      <c r="AD183" s="1971">
        <v>0</v>
      </c>
      <c r="AE183" s="1970">
        <v>0</v>
      </c>
      <c r="AF183" s="1971">
        <v>0</v>
      </c>
      <c r="AG183" s="1972"/>
      <c r="AH183" s="1973"/>
      <c r="AI183" s="1970">
        <v>0</v>
      </c>
      <c r="AJ183" s="1971">
        <v>0</v>
      </c>
      <c r="AK183" s="1974">
        <v>0</v>
      </c>
      <c r="AL183" s="1975">
        <v>0</v>
      </c>
      <c r="AM183" s="1970">
        <v>0</v>
      </c>
      <c r="AN183" s="1976">
        <v>0</v>
      </c>
      <c r="AO183" s="1970">
        <v>0</v>
      </c>
      <c r="AP183" s="1976">
        <v>0</v>
      </c>
      <c r="AQ183" s="1970">
        <v>0</v>
      </c>
      <c r="AR183" s="1976">
        <v>0</v>
      </c>
      <c r="AS183" s="1970">
        <v>0</v>
      </c>
      <c r="AT183" s="1976">
        <v>0</v>
      </c>
      <c r="AU183" s="1970">
        <v>0</v>
      </c>
      <c r="AV183" s="1976">
        <v>0</v>
      </c>
      <c r="AW183" s="1970">
        <v>0</v>
      </c>
      <c r="AX183" s="1976">
        <v>0</v>
      </c>
      <c r="AZ183" s="1968"/>
      <c r="BA183" s="1977"/>
      <c r="BD183" s="42"/>
      <c r="BI183" s="22"/>
      <c r="BJ183" s="58"/>
      <c r="BL183" s="22"/>
      <c r="BN183" s="44"/>
      <c r="BP183" s="45"/>
      <c r="BQ183" s="46"/>
      <c r="CA183">
        <v>0</v>
      </c>
      <c r="CB183" t="b">
        <f t="shared" si="19"/>
        <v>1</v>
      </c>
    </row>
    <row r="184" spans="1:80" ht="15" customHeight="1" x14ac:dyDescent="0.25">
      <c r="A184" s="22">
        <v>3306</v>
      </c>
      <c r="B184" s="23" t="s">
        <v>424</v>
      </c>
      <c r="C184" s="22" t="s">
        <v>170</v>
      </c>
      <c r="D184" s="23" t="s">
        <v>241</v>
      </c>
      <c r="E184" s="23" t="s">
        <v>241</v>
      </c>
      <c r="F184" s="22" t="s">
        <v>328</v>
      </c>
      <c r="G184" s="22" t="s">
        <v>290</v>
      </c>
      <c r="H184" s="23" t="s">
        <v>328</v>
      </c>
      <c r="I184" s="24"/>
      <c r="J184" s="1978"/>
      <c r="K184" s="26" t="s">
        <v>81</v>
      </c>
      <c r="L184" s="27">
        <v>1</v>
      </c>
      <c r="M184" s="28">
        <v>6</v>
      </c>
      <c r="N184" s="27">
        <f t="shared" si="17"/>
        <v>6</v>
      </c>
      <c r="O184" s="27">
        <f t="shared" si="18"/>
        <v>1.0567260000967802</v>
      </c>
      <c r="P184" s="28">
        <v>7</v>
      </c>
      <c r="Q184" s="28">
        <v>20</v>
      </c>
      <c r="R184" s="29">
        <f t="shared" si="22"/>
        <v>140</v>
      </c>
      <c r="S184" s="30">
        <v>0.2</v>
      </c>
      <c r="T184" s="30">
        <v>0.15</v>
      </c>
      <c r="U184" s="1979">
        <v>939822</v>
      </c>
      <c r="V184" s="1980">
        <v>2.6086956521739132E-3</v>
      </c>
      <c r="W184" s="1981">
        <v>902332</v>
      </c>
      <c r="X184" s="1982">
        <v>0.58507565217391311</v>
      </c>
      <c r="Y184" s="1981"/>
      <c r="Z184" s="1982">
        <v>0</v>
      </c>
      <c r="AA184" s="1981">
        <v>917993</v>
      </c>
      <c r="AB184" s="1982">
        <v>6</v>
      </c>
      <c r="AC184" s="1981">
        <v>939571</v>
      </c>
      <c r="AD184" s="1982">
        <v>6</v>
      </c>
      <c r="AE184" s="1981">
        <v>929272</v>
      </c>
      <c r="AF184" s="1982">
        <v>6</v>
      </c>
      <c r="AG184" s="1983"/>
      <c r="AH184" s="1984"/>
      <c r="AI184" s="1981">
        <v>0</v>
      </c>
      <c r="AJ184" s="1982">
        <v>0</v>
      </c>
      <c r="AK184" s="1985">
        <v>0</v>
      </c>
      <c r="AL184" s="1986">
        <v>0</v>
      </c>
      <c r="AM184" s="1981">
        <v>922605</v>
      </c>
      <c r="AN184" s="1987">
        <v>1.7000000000000001E-2</v>
      </c>
      <c r="AO184" s="1981">
        <v>902311</v>
      </c>
      <c r="AP184" s="1987">
        <v>3.2142E-3</v>
      </c>
      <c r="AQ184" s="1981">
        <v>902302</v>
      </c>
      <c r="AR184" s="1987">
        <v>4.2857142857142858E-2</v>
      </c>
      <c r="AS184" s="1981">
        <f>IF(K184="P",903360,0)</f>
        <v>903360</v>
      </c>
      <c r="AT184" s="1987">
        <f>1/R184</f>
        <v>7.1428571428571426E-3</v>
      </c>
      <c r="AU184" s="1981">
        <v>0</v>
      </c>
      <c r="AV184" s="1987">
        <v>0</v>
      </c>
      <c r="AW184" s="1981">
        <v>0</v>
      </c>
      <c r="AX184" s="1987">
        <v>0</v>
      </c>
      <c r="AZ184" s="1979"/>
      <c r="BA184" s="1988"/>
      <c r="BD184" s="42"/>
      <c r="BI184" s="22"/>
      <c r="BJ184" s="58"/>
      <c r="BL184" s="22"/>
      <c r="BN184" s="44"/>
      <c r="BP184" s="45"/>
      <c r="BQ184" s="46"/>
      <c r="BZ184">
        <v>939822</v>
      </c>
      <c r="CA184">
        <v>939822</v>
      </c>
      <c r="CB184" t="b">
        <f t="shared" si="19"/>
        <v>1</v>
      </c>
    </row>
    <row r="185" spans="1:80" ht="15" customHeight="1" x14ac:dyDescent="0.25">
      <c r="A185" s="22">
        <v>3406</v>
      </c>
      <c r="B185" s="23" t="s">
        <v>425</v>
      </c>
      <c r="C185" s="22" t="s">
        <v>170</v>
      </c>
      <c r="D185" s="23" t="s">
        <v>241</v>
      </c>
      <c r="E185" s="23" t="s">
        <v>241</v>
      </c>
      <c r="F185" s="22" t="s">
        <v>328</v>
      </c>
      <c r="G185" s="22" t="s">
        <v>290</v>
      </c>
      <c r="H185" s="23" t="s">
        <v>328</v>
      </c>
      <c r="I185" s="24"/>
      <c r="J185" s="1989"/>
      <c r="K185" s="26" t="s">
        <v>81</v>
      </c>
      <c r="L185" s="27">
        <v>1</v>
      </c>
      <c r="M185" s="28">
        <v>6</v>
      </c>
      <c r="N185" s="27">
        <f t="shared" si="17"/>
        <v>6</v>
      </c>
      <c r="O185" s="27">
        <f t="shared" si="18"/>
        <v>1.0567260000967802</v>
      </c>
      <c r="P185" s="28">
        <v>7</v>
      </c>
      <c r="Q185" s="28">
        <v>20</v>
      </c>
      <c r="R185" s="29">
        <f t="shared" si="22"/>
        <v>140</v>
      </c>
      <c r="S185" s="30">
        <v>0.2</v>
      </c>
      <c r="T185" s="30">
        <v>0.15</v>
      </c>
      <c r="U185" s="1990">
        <v>939823</v>
      </c>
      <c r="V185" s="1991">
        <v>3.0000000000000001E-3</v>
      </c>
      <c r="W185" s="1992">
        <v>902332</v>
      </c>
      <c r="X185" s="1993">
        <v>0.53428200000000003</v>
      </c>
      <c r="Y185" s="1992"/>
      <c r="Z185" s="1993">
        <v>0</v>
      </c>
      <c r="AA185" s="1992">
        <v>917993</v>
      </c>
      <c r="AB185" s="1993">
        <v>6</v>
      </c>
      <c r="AC185" s="1992">
        <v>939572</v>
      </c>
      <c r="AD185" s="1993">
        <v>6</v>
      </c>
      <c r="AE185" s="1992">
        <v>929272</v>
      </c>
      <c r="AF185" s="1993">
        <v>6</v>
      </c>
      <c r="AG185" s="1994"/>
      <c r="AH185" s="1995"/>
      <c r="AI185" s="1992">
        <v>0</v>
      </c>
      <c r="AJ185" s="1993">
        <v>0</v>
      </c>
      <c r="AK185" s="1996">
        <v>0</v>
      </c>
      <c r="AL185" s="1997">
        <v>0</v>
      </c>
      <c r="AM185" s="1992">
        <v>922605</v>
      </c>
      <c r="AN185" s="1998">
        <v>1.7000000000000001E-2</v>
      </c>
      <c r="AO185" s="1992">
        <v>902311</v>
      </c>
      <c r="AP185" s="1998">
        <v>3.2142E-3</v>
      </c>
      <c r="AQ185" s="1992">
        <v>902302</v>
      </c>
      <c r="AR185" s="1998">
        <v>4.2857142857142858E-2</v>
      </c>
      <c r="AS185" s="1992">
        <f>IF(K185="P",903360,0)</f>
        <v>903360</v>
      </c>
      <c r="AT185" s="1998">
        <f>1/R185</f>
        <v>7.1428571428571426E-3</v>
      </c>
      <c r="AU185" s="1992">
        <v>0</v>
      </c>
      <c r="AV185" s="1998">
        <v>0</v>
      </c>
      <c r="AW185" s="1992">
        <v>0</v>
      </c>
      <c r="AX185" s="1998">
        <v>0</v>
      </c>
      <c r="AZ185" s="1990"/>
      <c r="BA185" s="1999"/>
      <c r="BD185" s="42"/>
      <c r="BI185" s="22"/>
      <c r="BJ185" s="58"/>
      <c r="BL185" s="22"/>
      <c r="BN185" s="44"/>
      <c r="BP185" s="45"/>
      <c r="BQ185" s="46"/>
      <c r="BZ185">
        <v>939823</v>
      </c>
      <c r="CA185">
        <v>939823</v>
      </c>
      <c r="CB185" t="b">
        <f t="shared" si="19"/>
        <v>1</v>
      </c>
    </row>
    <row r="186" spans="1:80" ht="15" customHeight="1" x14ac:dyDescent="0.25">
      <c r="A186" s="22">
        <v>3475</v>
      </c>
      <c r="B186" s="23" t="s">
        <v>426</v>
      </c>
      <c r="C186" s="22" t="s">
        <v>76</v>
      </c>
      <c r="D186" s="23" t="s">
        <v>77</v>
      </c>
      <c r="E186" s="23" t="s">
        <v>249</v>
      </c>
      <c r="F186" s="22" t="s">
        <v>358</v>
      </c>
      <c r="G186" s="22" t="s">
        <v>358</v>
      </c>
      <c r="H186" s="23" t="s">
        <v>427</v>
      </c>
      <c r="I186" s="24"/>
      <c r="J186" s="2000"/>
      <c r="K186" s="26" t="s">
        <v>94</v>
      </c>
      <c r="L186" s="27">
        <v>0.47299999999999998</v>
      </c>
      <c r="M186" s="28">
        <v>6</v>
      </c>
      <c r="N186" s="27">
        <f t="shared" si="17"/>
        <v>2.8380000000000001</v>
      </c>
      <c r="O186" s="27">
        <f t="shared" si="18"/>
        <v>0.49983139804577709</v>
      </c>
      <c r="P186" s="28">
        <v>9</v>
      </c>
      <c r="Q186" s="28">
        <v>45</v>
      </c>
      <c r="R186" s="29">
        <f t="shared" si="22"/>
        <v>405</v>
      </c>
      <c r="S186" s="30">
        <v>0.23499999999999999</v>
      </c>
      <c r="T186" s="30">
        <v>0.05</v>
      </c>
      <c r="U186" s="2001"/>
      <c r="V186" s="2002"/>
      <c r="W186" s="2003"/>
      <c r="X186" s="2004">
        <v>0</v>
      </c>
      <c r="Y186" s="2003"/>
      <c r="Z186" s="2004">
        <v>0</v>
      </c>
      <c r="AA186" s="2003"/>
      <c r="AB186" s="2004"/>
      <c r="AC186" s="2003">
        <v>0</v>
      </c>
      <c r="AD186" s="2004">
        <v>0</v>
      </c>
      <c r="AE186" s="2003">
        <v>0</v>
      </c>
      <c r="AF186" s="2004">
        <v>0</v>
      </c>
      <c r="AG186" s="2005"/>
      <c r="AH186" s="2006"/>
      <c r="AI186" s="2003">
        <v>0</v>
      </c>
      <c r="AJ186" s="2004">
        <v>0</v>
      </c>
      <c r="AK186" s="2007">
        <v>0</v>
      </c>
      <c r="AL186" s="2008">
        <v>0</v>
      </c>
      <c r="AM186" s="2003">
        <v>0</v>
      </c>
      <c r="AN186" s="2009">
        <v>0</v>
      </c>
      <c r="AO186" s="2003">
        <v>0</v>
      </c>
      <c r="AP186" s="2009">
        <v>0</v>
      </c>
      <c r="AQ186" s="2003">
        <v>0</v>
      </c>
      <c r="AR186" s="2009">
        <v>0</v>
      </c>
      <c r="AS186" s="2003">
        <v>0</v>
      </c>
      <c r="AT186" s="2009">
        <v>0</v>
      </c>
      <c r="AU186" s="2003">
        <v>0</v>
      </c>
      <c r="AV186" s="2009">
        <v>0</v>
      </c>
      <c r="AW186" s="2003">
        <v>0</v>
      </c>
      <c r="AX186" s="2009">
        <v>0</v>
      </c>
      <c r="AZ186" s="2001"/>
      <c r="BA186" s="2010"/>
      <c r="BD186" s="42"/>
      <c r="BI186" s="22"/>
      <c r="BJ186" s="58"/>
      <c r="BL186" s="22"/>
      <c r="BN186" s="44"/>
      <c r="BP186" s="45"/>
      <c r="BQ186" s="46"/>
      <c r="CA186">
        <v>0</v>
      </c>
      <c r="CB186" t="b">
        <f t="shared" si="19"/>
        <v>1</v>
      </c>
    </row>
    <row r="187" spans="1:80" ht="15" customHeight="1" x14ac:dyDescent="0.25">
      <c r="A187" s="22">
        <v>3476</v>
      </c>
      <c r="B187" s="23" t="s">
        <v>428</v>
      </c>
      <c r="C187" s="22" t="s">
        <v>76</v>
      </c>
      <c r="D187" s="23" t="s">
        <v>77</v>
      </c>
      <c r="E187" s="23" t="s">
        <v>249</v>
      </c>
      <c r="F187" s="22" t="s">
        <v>358</v>
      </c>
      <c r="G187" s="22" t="s">
        <v>358</v>
      </c>
      <c r="H187" s="23" t="s">
        <v>427</v>
      </c>
      <c r="I187" s="24"/>
      <c r="J187" s="2011"/>
      <c r="K187" s="26" t="s">
        <v>94</v>
      </c>
      <c r="L187" s="27">
        <v>0.47299999999999998</v>
      </c>
      <c r="M187" s="28">
        <v>6</v>
      </c>
      <c r="N187" s="27">
        <f t="shared" si="17"/>
        <v>2.8380000000000001</v>
      </c>
      <c r="O187" s="27">
        <f t="shared" si="18"/>
        <v>0.49983139804577709</v>
      </c>
      <c r="P187" s="28">
        <v>9</v>
      </c>
      <c r="Q187" s="28">
        <v>45</v>
      </c>
      <c r="R187" s="29">
        <f t="shared" si="22"/>
        <v>405</v>
      </c>
      <c r="S187" s="30">
        <v>0.23499999999999999</v>
      </c>
      <c r="T187" s="30">
        <v>0.05</v>
      </c>
      <c r="U187" s="2012"/>
      <c r="V187" s="2013"/>
      <c r="W187" s="2014"/>
      <c r="X187" s="2015">
        <v>0</v>
      </c>
      <c r="Y187" s="2014"/>
      <c r="Z187" s="2015">
        <v>0</v>
      </c>
      <c r="AA187" s="2014"/>
      <c r="AB187" s="2015"/>
      <c r="AC187" s="2014">
        <v>0</v>
      </c>
      <c r="AD187" s="2015">
        <v>0</v>
      </c>
      <c r="AE187" s="2014">
        <v>0</v>
      </c>
      <c r="AF187" s="2015">
        <v>0</v>
      </c>
      <c r="AG187" s="2016"/>
      <c r="AH187" s="2017"/>
      <c r="AI187" s="2014">
        <v>0</v>
      </c>
      <c r="AJ187" s="2015">
        <v>0</v>
      </c>
      <c r="AK187" s="2018">
        <v>0</v>
      </c>
      <c r="AL187" s="2019">
        <v>0</v>
      </c>
      <c r="AM187" s="2014">
        <v>0</v>
      </c>
      <c r="AN187" s="2020">
        <v>0</v>
      </c>
      <c r="AO187" s="2014">
        <v>0</v>
      </c>
      <c r="AP187" s="2020">
        <v>0</v>
      </c>
      <c r="AQ187" s="2014">
        <v>0</v>
      </c>
      <c r="AR187" s="2020">
        <v>0</v>
      </c>
      <c r="AS187" s="2014">
        <v>0</v>
      </c>
      <c r="AT187" s="2020">
        <v>0</v>
      </c>
      <c r="AU187" s="2014">
        <v>0</v>
      </c>
      <c r="AV187" s="2020">
        <v>0</v>
      </c>
      <c r="AW187" s="2014">
        <v>0</v>
      </c>
      <c r="AX187" s="2020">
        <v>0</v>
      </c>
      <c r="AZ187" s="2012"/>
      <c r="BA187" s="2021"/>
      <c r="BD187" s="42"/>
      <c r="BI187" s="22"/>
      <c r="BJ187" s="58"/>
      <c r="BL187" s="22"/>
      <c r="BN187" s="44"/>
      <c r="BP187" s="45"/>
      <c r="BQ187" s="46"/>
      <c r="CA187">
        <v>0</v>
      </c>
      <c r="CB187" t="b">
        <f t="shared" si="19"/>
        <v>1</v>
      </c>
    </row>
    <row r="188" spans="1:80" ht="15" customHeight="1" x14ac:dyDescent="0.25">
      <c r="A188" s="22">
        <v>3477</v>
      </c>
      <c r="B188" s="23" t="s">
        <v>429</v>
      </c>
      <c r="C188" s="22" t="s">
        <v>76</v>
      </c>
      <c r="D188" s="23" t="s">
        <v>220</v>
      </c>
      <c r="E188" s="23" t="s">
        <v>292</v>
      </c>
      <c r="F188" s="22" t="s">
        <v>358</v>
      </c>
      <c r="G188" s="22" t="s">
        <v>358</v>
      </c>
      <c r="H188" s="23" t="s">
        <v>427</v>
      </c>
      <c r="I188" s="24"/>
      <c r="J188" s="2022">
        <v>4.1666670000000003E-2</v>
      </c>
      <c r="K188" s="26" t="s">
        <v>94</v>
      </c>
      <c r="L188" s="27">
        <v>0.47299999999999998</v>
      </c>
      <c r="M188" s="28">
        <v>6</v>
      </c>
      <c r="N188" s="27">
        <f t="shared" si="17"/>
        <v>2.8380000000000001</v>
      </c>
      <c r="O188" s="27">
        <f t="shared" si="18"/>
        <v>0.49983139804577709</v>
      </c>
      <c r="P188" s="28">
        <v>9</v>
      </c>
      <c r="Q188" s="28">
        <v>45</v>
      </c>
      <c r="R188" s="29">
        <f t="shared" si="22"/>
        <v>405</v>
      </c>
      <c r="S188" s="30">
        <v>0.27500000000000002</v>
      </c>
      <c r="T188" s="30">
        <v>0.1</v>
      </c>
      <c r="U188" s="2023"/>
      <c r="V188" s="2024"/>
      <c r="W188" s="2025"/>
      <c r="X188" s="2026">
        <v>0</v>
      </c>
      <c r="Y188" s="2025"/>
      <c r="Z188" s="2026">
        <v>0</v>
      </c>
      <c r="AA188" s="2025"/>
      <c r="AB188" s="2026"/>
      <c r="AC188" s="2025">
        <v>0</v>
      </c>
      <c r="AD188" s="2026">
        <v>0</v>
      </c>
      <c r="AE188" s="2025">
        <v>0</v>
      </c>
      <c r="AF188" s="2026">
        <v>0</v>
      </c>
      <c r="AG188" s="2027"/>
      <c r="AH188" s="2028"/>
      <c r="AI188" s="2025">
        <v>0</v>
      </c>
      <c r="AJ188" s="2026">
        <v>0</v>
      </c>
      <c r="AK188" s="2029">
        <v>0</v>
      </c>
      <c r="AL188" s="2030">
        <v>0</v>
      </c>
      <c r="AM188" s="2025">
        <v>0</v>
      </c>
      <c r="AN188" s="2031">
        <v>0</v>
      </c>
      <c r="AO188" s="2025">
        <v>0</v>
      </c>
      <c r="AP188" s="2031">
        <v>0</v>
      </c>
      <c r="AQ188" s="2025">
        <v>0</v>
      </c>
      <c r="AR188" s="2031">
        <v>0</v>
      </c>
      <c r="AS188" s="2025">
        <v>0</v>
      </c>
      <c r="AT188" s="2031">
        <v>0</v>
      </c>
      <c r="AU188" s="2025">
        <v>0</v>
      </c>
      <c r="AV188" s="2031">
        <v>0</v>
      </c>
      <c r="AW188" s="2025">
        <v>0</v>
      </c>
      <c r="AX188" s="2031">
        <v>0</v>
      </c>
      <c r="AZ188" s="2023"/>
      <c r="BA188" s="2032"/>
      <c r="BD188" s="42"/>
      <c r="BI188" s="22"/>
      <c r="BJ188" s="58"/>
      <c r="BL188" s="22"/>
      <c r="BN188" s="44"/>
      <c r="BP188" s="45"/>
      <c r="BQ188" s="46"/>
      <c r="CA188">
        <v>0</v>
      </c>
      <c r="CB188" t="b">
        <f t="shared" si="19"/>
        <v>1</v>
      </c>
    </row>
    <row r="189" spans="1:80" ht="15" customHeight="1" x14ac:dyDescent="0.25">
      <c r="A189" s="22">
        <v>3510</v>
      </c>
      <c r="B189" s="23" t="s">
        <v>430</v>
      </c>
      <c r="C189" s="22" t="s">
        <v>76</v>
      </c>
      <c r="D189" s="23" t="s">
        <v>273</v>
      </c>
      <c r="E189" s="23" t="s">
        <v>431</v>
      </c>
      <c r="F189" s="22" t="s">
        <v>86</v>
      </c>
      <c r="G189" s="22" t="s">
        <v>86</v>
      </c>
      <c r="H189" s="23" t="s">
        <v>88</v>
      </c>
      <c r="I189" s="24" t="s">
        <v>88</v>
      </c>
      <c r="J189" s="2033">
        <v>4.1666670000000003E-2</v>
      </c>
      <c r="K189" s="26" t="s">
        <v>81</v>
      </c>
      <c r="L189" s="27">
        <v>0.35</v>
      </c>
      <c r="M189" s="28">
        <v>24</v>
      </c>
      <c r="N189" s="27">
        <f t="shared" si="17"/>
        <v>8.3999999999999986</v>
      </c>
      <c r="O189" s="27">
        <f t="shared" si="18"/>
        <v>1.4794164001354921</v>
      </c>
      <c r="P189" s="28">
        <v>6</v>
      </c>
      <c r="Q189" s="28">
        <v>10</v>
      </c>
      <c r="R189" s="29">
        <f t="shared" si="22"/>
        <v>60</v>
      </c>
      <c r="S189" s="30">
        <v>0.23499999999999999</v>
      </c>
      <c r="T189" s="30">
        <v>0</v>
      </c>
      <c r="U189" s="2034">
        <v>928732</v>
      </c>
      <c r="V189" s="2035">
        <v>4.1999999999999997E-3</v>
      </c>
      <c r="W189" s="2036"/>
      <c r="X189" s="2037">
        <v>0</v>
      </c>
      <c r="Y189" s="2036">
        <v>902338</v>
      </c>
      <c r="Z189" s="2037">
        <v>5.4885599999999993E-2</v>
      </c>
      <c r="AA189" s="2036">
        <v>933139</v>
      </c>
      <c r="AB189" s="2037">
        <v>24</v>
      </c>
      <c r="AC189" s="2036">
        <v>934634</v>
      </c>
      <c r="AD189" s="2037">
        <v>24</v>
      </c>
      <c r="AE189" s="2036">
        <v>0</v>
      </c>
      <c r="AF189" s="2037">
        <v>0</v>
      </c>
      <c r="AG189" s="2038"/>
      <c r="AH189" s="2039"/>
      <c r="AI189" s="2036">
        <v>932677</v>
      </c>
      <c r="AJ189" s="2037">
        <v>24</v>
      </c>
      <c r="AK189" s="2040">
        <v>901734</v>
      </c>
      <c r="AL189" s="2041">
        <v>1</v>
      </c>
      <c r="AM189" s="2036">
        <v>0</v>
      </c>
      <c r="AN189" s="2042">
        <v>0</v>
      </c>
      <c r="AO189" s="2036">
        <v>0</v>
      </c>
      <c r="AP189" s="2042">
        <v>0</v>
      </c>
      <c r="AQ189" s="2036">
        <v>0</v>
      </c>
      <c r="AR189" s="2042">
        <v>0</v>
      </c>
      <c r="AS189" s="2036">
        <f>IF(K189="P",903360,0)</f>
        <v>903360</v>
      </c>
      <c r="AT189" s="2042">
        <f>1/R189</f>
        <v>1.6666666666666666E-2</v>
      </c>
      <c r="AU189" s="2036">
        <v>0</v>
      </c>
      <c r="AV189" s="2042">
        <v>0</v>
      </c>
      <c r="AW189" s="2036">
        <v>0</v>
      </c>
      <c r="AX189" s="2042">
        <v>0</v>
      </c>
      <c r="AZ189" s="2034"/>
      <c r="BA189" s="2043"/>
      <c r="BD189" s="42"/>
      <c r="BI189" s="22"/>
      <c r="BJ189" s="58"/>
      <c r="BL189" s="22"/>
      <c r="BN189" s="44"/>
      <c r="BP189" s="45"/>
      <c r="BQ189" s="46"/>
      <c r="BZ189">
        <v>928732</v>
      </c>
      <c r="CA189">
        <v>928732</v>
      </c>
      <c r="CB189" t="b">
        <f t="shared" si="19"/>
        <v>1</v>
      </c>
    </row>
    <row r="190" spans="1:80" ht="15" customHeight="1" x14ac:dyDescent="0.25">
      <c r="A190" s="22">
        <v>3511</v>
      </c>
      <c r="B190" s="23" t="s">
        <v>432</v>
      </c>
      <c r="C190" s="22" t="s">
        <v>76</v>
      </c>
      <c r="D190" s="23" t="s">
        <v>273</v>
      </c>
      <c r="E190" s="23" t="s">
        <v>431</v>
      </c>
      <c r="F190" s="22" t="s">
        <v>262</v>
      </c>
      <c r="G190" s="22" t="s">
        <v>262</v>
      </c>
      <c r="H190" s="23" t="s">
        <v>275</v>
      </c>
      <c r="I190" s="24"/>
      <c r="J190" s="2044">
        <v>4.1666670000000003E-2</v>
      </c>
      <c r="K190" s="26" t="s">
        <v>94</v>
      </c>
      <c r="L190" s="27">
        <v>0.31</v>
      </c>
      <c r="M190" s="28">
        <v>6</v>
      </c>
      <c r="N190" s="27">
        <f t="shared" si="17"/>
        <v>1.8599999999999999</v>
      </c>
      <c r="O190" s="27">
        <f t="shared" si="18"/>
        <v>0.32758506003000187</v>
      </c>
      <c r="P190" s="28">
        <v>11</v>
      </c>
      <c r="Q190" s="28">
        <v>56</v>
      </c>
      <c r="R190" s="29">
        <f>+P190*Q190</f>
        <v>616</v>
      </c>
      <c r="S190" s="30">
        <v>0.23499999999999999</v>
      </c>
      <c r="T190" s="30">
        <v>0.05</v>
      </c>
      <c r="U190" s="2045"/>
      <c r="V190" s="2046"/>
      <c r="W190" s="2047"/>
      <c r="X190" s="2048">
        <v>0</v>
      </c>
      <c r="Y190" s="2047"/>
      <c r="Z190" s="2048">
        <v>0</v>
      </c>
      <c r="AA190" s="2047"/>
      <c r="AB190" s="2048"/>
      <c r="AC190" s="2047">
        <v>0</v>
      </c>
      <c r="AD190" s="2048">
        <v>0</v>
      </c>
      <c r="AE190" s="2047">
        <v>0</v>
      </c>
      <c r="AF190" s="2048">
        <v>0</v>
      </c>
      <c r="AG190" s="2049"/>
      <c r="AH190" s="2050"/>
      <c r="AI190" s="2047">
        <v>0</v>
      </c>
      <c r="AJ190" s="2048">
        <v>0</v>
      </c>
      <c r="AK190" s="2051">
        <v>0</v>
      </c>
      <c r="AL190" s="2052">
        <v>0</v>
      </c>
      <c r="AM190" s="2047">
        <v>0</v>
      </c>
      <c r="AN190" s="2053">
        <v>0</v>
      </c>
      <c r="AO190" s="2047">
        <v>0</v>
      </c>
      <c r="AP190" s="2053">
        <v>0</v>
      </c>
      <c r="AQ190" s="2047">
        <v>0</v>
      </c>
      <c r="AR190" s="2053">
        <v>0</v>
      </c>
      <c r="AS190" s="2047">
        <v>0</v>
      </c>
      <c r="AT190" s="2053">
        <v>0</v>
      </c>
      <c r="AU190" s="2047">
        <v>0</v>
      </c>
      <c r="AV190" s="2053">
        <v>0</v>
      </c>
      <c r="AW190" s="2047">
        <v>0</v>
      </c>
      <c r="AX190" s="2053">
        <v>0</v>
      </c>
      <c r="AZ190" s="2045"/>
      <c r="BA190" s="2054"/>
      <c r="BD190" s="42"/>
      <c r="BI190" s="22"/>
      <c r="BJ190" s="58"/>
      <c r="BL190" s="22"/>
      <c r="BN190" s="44"/>
      <c r="BP190" s="45"/>
      <c r="BQ190" s="46"/>
      <c r="CA190">
        <v>0</v>
      </c>
      <c r="CB190" t="b">
        <f t="shared" si="19"/>
        <v>1</v>
      </c>
    </row>
    <row r="191" spans="1:80" ht="15" customHeight="1" x14ac:dyDescent="0.25">
      <c r="A191" s="22">
        <v>3527</v>
      </c>
      <c r="B191" s="23" t="s">
        <v>433</v>
      </c>
      <c r="C191" s="22" t="s">
        <v>76</v>
      </c>
      <c r="D191" s="23" t="s">
        <v>273</v>
      </c>
      <c r="E191" s="23" t="s">
        <v>431</v>
      </c>
      <c r="F191" s="22" t="s">
        <v>102</v>
      </c>
      <c r="G191" s="22" t="s">
        <v>102</v>
      </c>
      <c r="H191" s="23" t="s">
        <v>104</v>
      </c>
      <c r="I191" s="24" t="s">
        <v>104</v>
      </c>
      <c r="J191" s="2055">
        <v>4.1666670000000003E-2</v>
      </c>
      <c r="K191" s="26" t="s">
        <v>81</v>
      </c>
      <c r="L191" s="27">
        <v>0.5</v>
      </c>
      <c r="M191" s="28">
        <v>12</v>
      </c>
      <c r="N191" s="27">
        <f t="shared" si="17"/>
        <v>6</v>
      </c>
      <c r="O191" s="27">
        <f t="shared" si="18"/>
        <v>1.0567260000967802</v>
      </c>
      <c r="P191" s="28">
        <v>6</v>
      </c>
      <c r="Q191" s="28">
        <v>24</v>
      </c>
      <c r="R191" s="29">
        <f t="shared" ref="R191:R202" si="23">P191*Q191</f>
        <v>144</v>
      </c>
      <c r="S191" s="30">
        <v>0.23499999999999999</v>
      </c>
      <c r="T191" s="30">
        <v>0</v>
      </c>
      <c r="U191" s="2056">
        <v>928732</v>
      </c>
      <c r="V191" s="2057">
        <v>3.0000000000000001E-3</v>
      </c>
      <c r="W191" s="2058">
        <v>0</v>
      </c>
      <c r="X191" s="2059">
        <v>0</v>
      </c>
      <c r="Y191" s="2058">
        <v>902338</v>
      </c>
      <c r="Z191" s="2059">
        <v>3.9204000000000003E-2</v>
      </c>
      <c r="AA191" s="2058">
        <v>901781</v>
      </c>
      <c r="AB191" s="2059">
        <v>12</v>
      </c>
      <c r="AC191" s="2058">
        <v>909965</v>
      </c>
      <c r="AD191" s="2059">
        <v>12</v>
      </c>
      <c r="AE191" s="2058">
        <v>901189</v>
      </c>
      <c r="AF191" s="2059">
        <v>12</v>
      </c>
      <c r="AG191" s="2060"/>
      <c r="AH191" s="2061"/>
      <c r="AI191" s="2058">
        <v>0</v>
      </c>
      <c r="AJ191" s="2059">
        <v>0</v>
      </c>
      <c r="AK191" s="2062">
        <v>0</v>
      </c>
      <c r="AL191" s="2063">
        <v>0</v>
      </c>
      <c r="AM191" s="2058">
        <v>932317</v>
      </c>
      <c r="AN191" s="2064">
        <v>1.9900000000000001E-2</v>
      </c>
      <c r="AO191" s="2058">
        <v>902311</v>
      </c>
      <c r="AP191" s="2064">
        <v>2.7777777777777779E-3</v>
      </c>
      <c r="AQ191" s="2058">
        <v>933089</v>
      </c>
      <c r="AR191" s="2064">
        <v>3.4722222222222224E-2</v>
      </c>
      <c r="AS191" s="2058">
        <f>IF(K191="P",903360,0)</f>
        <v>903360</v>
      </c>
      <c r="AT191" s="2064">
        <f>1/R191</f>
        <v>6.9444444444444441E-3</v>
      </c>
      <c r="AU191" s="2058">
        <v>0</v>
      </c>
      <c r="AV191" s="2064">
        <v>0</v>
      </c>
      <c r="AW191" s="2058">
        <v>0</v>
      </c>
      <c r="AX191" s="2064">
        <v>0</v>
      </c>
      <c r="AZ191" s="2056"/>
      <c r="BA191" s="2065"/>
      <c r="BD191" s="42"/>
      <c r="BI191" s="22"/>
      <c r="BJ191" s="58"/>
      <c r="BL191" s="22"/>
      <c r="BN191" s="44"/>
      <c r="BP191" s="45"/>
      <c r="BQ191" s="46"/>
      <c r="BZ191">
        <v>928732</v>
      </c>
      <c r="CA191">
        <v>928732</v>
      </c>
      <c r="CB191" t="b">
        <f t="shared" si="19"/>
        <v>1</v>
      </c>
    </row>
    <row r="192" spans="1:80" ht="15" customHeight="1" x14ac:dyDescent="0.25">
      <c r="A192" s="22">
        <v>3536</v>
      </c>
      <c r="B192" s="23" t="s">
        <v>434</v>
      </c>
      <c r="C192" s="22" t="s">
        <v>76</v>
      </c>
      <c r="D192" s="23" t="s">
        <v>273</v>
      </c>
      <c r="E192" s="23" t="s">
        <v>431</v>
      </c>
      <c r="F192" s="22" t="s">
        <v>255</v>
      </c>
      <c r="G192" s="22" t="s">
        <v>255</v>
      </c>
      <c r="H192" s="23" t="s">
        <v>280</v>
      </c>
      <c r="I192" s="24" t="s">
        <v>280</v>
      </c>
      <c r="J192" s="2066">
        <v>4.1666670000000003E-2</v>
      </c>
      <c r="K192" s="26" t="s">
        <v>81</v>
      </c>
      <c r="L192" s="27">
        <v>1.5</v>
      </c>
      <c r="M192" s="28">
        <v>6</v>
      </c>
      <c r="N192" s="27">
        <f t="shared" si="17"/>
        <v>9</v>
      </c>
      <c r="O192" s="27">
        <f t="shared" si="18"/>
        <v>1.5850890001451705</v>
      </c>
      <c r="P192" s="28">
        <v>4</v>
      </c>
      <c r="Q192" s="28">
        <v>28</v>
      </c>
      <c r="R192" s="29">
        <f t="shared" si="23"/>
        <v>112</v>
      </c>
      <c r="S192" s="30">
        <v>0.23499999999999999</v>
      </c>
      <c r="T192" s="30">
        <v>0</v>
      </c>
      <c r="U192" s="2067">
        <v>928732</v>
      </c>
      <c r="V192" s="2068">
        <v>4.5000000000000005E-3</v>
      </c>
      <c r="W192" s="2069">
        <v>0</v>
      </c>
      <c r="X192" s="2070">
        <v>0</v>
      </c>
      <c r="Y192" s="2069">
        <v>902338</v>
      </c>
      <c r="Z192" s="2070">
        <v>5.8806000000000004E-2</v>
      </c>
      <c r="AA192" s="2069">
        <v>901781</v>
      </c>
      <c r="AB192" s="2070">
        <v>6</v>
      </c>
      <c r="AC192" s="2069">
        <v>923737</v>
      </c>
      <c r="AD192" s="2070">
        <v>6</v>
      </c>
      <c r="AE192" s="2069">
        <v>913486</v>
      </c>
      <c r="AF192" s="2070">
        <v>6</v>
      </c>
      <c r="AG192" s="2071"/>
      <c r="AH192" s="2072"/>
      <c r="AI192" s="2069">
        <v>0</v>
      </c>
      <c r="AJ192" s="2070">
        <v>0</v>
      </c>
      <c r="AK192" s="2073">
        <v>0</v>
      </c>
      <c r="AL192" s="2074">
        <v>0</v>
      </c>
      <c r="AM192" s="2069">
        <v>917330</v>
      </c>
      <c r="AN192" s="2075">
        <v>2.3300000000000001E-2</v>
      </c>
      <c r="AO192" s="2069">
        <v>902311</v>
      </c>
      <c r="AP192" s="2075">
        <v>4.0178571428571433E-3</v>
      </c>
      <c r="AQ192" s="2069">
        <v>910319</v>
      </c>
      <c r="AR192" s="2075">
        <v>2.6785714285714284E-2</v>
      </c>
      <c r="AS192" s="2069">
        <f>IF(K192="P",903360,0)</f>
        <v>903360</v>
      </c>
      <c r="AT192" s="2075">
        <f>1/R192</f>
        <v>8.9285714285714281E-3</v>
      </c>
      <c r="AU192" s="2069">
        <v>0</v>
      </c>
      <c r="AV192" s="2075">
        <v>0</v>
      </c>
      <c r="AW192" s="2069">
        <v>0</v>
      </c>
      <c r="AX192" s="2075">
        <v>0</v>
      </c>
      <c r="AZ192" s="2067"/>
      <c r="BA192" s="2076"/>
      <c r="BD192" s="42"/>
      <c r="BI192" s="22"/>
      <c r="BJ192" s="58"/>
      <c r="BL192" s="22"/>
      <c r="BN192" s="44"/>
      <c r="BP192" s="45"/>
      <c r="BQ192" s="46"/>
      <c r="BZ192">
        <v>928732</v>
      </c>
      <c r="CA192">
        <v>928732</v>
      </c>
      <c r="CB192" t="b">
        <f t="shared" si="19"/>
        <v>1</v>
      </c>
    </row>
    <row r="193" spans="1:80" ht="15" customHeight="1" x14ac:dyDescent="0.25">
      <c r="A193" s="22">
        <v>3559</v>
      </c>
      <c r="B193" s="23" t="s">
        <v>435</v>
      </c>
      <c r="C193" s="22" t="s">
        <v>76</v>
      </c>
      <c r="D193" s="23" t="s">
        <v>273</v>
      </c>
      <c r="E193" s="23" t="s">
        <v>431</v>
      </c>
      <c r="F193" s="22" t="s">
        <v>118</v>
      </c>
      <c r="G193" s="22" t="s">
        <v>118</v>
      </c>
      <c r="H193" s="23" t="s">
        <v>125</v>
      </c>
      <c r="I193" s="24" t="s">
        <v>125</v>
      </c>
      <c r="J193" s="2077">
        <v>4.1666670000000003E-2</v>
      </c>
      <c r="K193" s="26" t="s">
        <v>81</v>
      </c>
      <c r="L193" s="27">
        <v>2.25</v>
      </c>
      <c r="M193" s="28">
        <v>6</v>
      </c>
      <c r="N193" s="27">
        <f t="shared" si="17"/>
        <v>13.5</v>
      </c>
      <c r="O193" s="27">
        <f t="shared" si="18"/>
        <v>2.3776335002177555</v>
      </c>
      <c r="P193" s="28">
        <v>4</v>
      </c>
      <c r="Q193" s="28">
        <v>20</v>
      </c>
      <c r="R193" s="29">
        <f t="shared" si="23"/>
        <v>80</v>
      </c>
      <c r="S193" s="30">
        <v>0.23499999999999999</v>
      </c>
      <c r="T193" s="30">
        <v>0</v>
      </c>
      <c r="U193" s="2078">
        <v>928732</v>
      </c>
      <c r="V193" s="2079">
        <v>6.7499999999999991E-3</v>
      </c>
      <c r="W193" s="2080">
        <v>0</v>
      </c>
      <c r="X193" s="2081">
        <v>0</v>
      </c>
      <c r="Y193" s="2080">
        <v>902338</v>
      </c>
      <c r="Z193" s="2081">
        <v>8.8208999999999996E-2</v>
      </c>
      <c r="AA193" s="2080">
        <v>901781</v>
      </c>
      <c r="AB193" s="2081">
        <v>6</v>
      </c>
      <c r="AC193" s="2080">
        <v>923738</v>
      </c>
      <c r="AD193" s="2081">
        <v>6</v>
      </c>
      <c r="AE193" s="2080">
        <v>916882</v>
      </c>
      <c r="AF193" s="2081">
        <v>6</v>
      </c>
      <c r="AG193" s="2082"/>
      <c r="AH193" s="2083"/>
      <c r="AI193" s="2080">
        <v>0</v>
      </c>
      <c r="AJ193" s="2081">
        <v>0</v>
      </c>
      <c r="AK193" s="2084">
        <v>0</v>
      </c>
      <c r="AL193" s="2085">
        <v>0</v>
      </c>
      <c r="AM193" s="2080">
        <v>932442</v>
      </c>
      <c r="AN193" s="2086">
        <v>2.7699999999999999E-2</v>
      </c>
      <c r="AO193" s="2080">
        <v>902311</v>
      </c>
      <c r="AP193" s="2086">
        <v>4.3750000000000004E-3</v>
      </c>
      <c r="AQ193" s="2080">
        <v>933089</v>
      </c>
      <c r="AR193" s="2086">
        <v>3.7499999999999999E-2</v>
      </c>
      <c r="AS193" s="2080">
        <f>IF(K193="P",903360,0)</f>
        <v>903360</v>
      </c>
      <c r="AT193" s="2086">
        <f>1/R193</f>
        <v>1.2500000000000001E-2</v>
      </c>
      <c r="AU193" s="2080">
        <v>0</v>
      </c>
      <c r="AV193" s="2086">
        <v>0</v>
      </c>
      <c r="AW193" s="2080">
        <v>0</v>
      </c>
      <c r="AX193" s="2086">
        <v>0</v>
      </c>
      <c r="AZ193" s="2078"/>
      <c r="BA193" s="2087"/>
      <c r="BD193" s="42"/>
      <c r="BI193" s="22"/>
      <c r="BJ193" s="58"/>
      <c r="BL193" s="22"/>
      <c r="BN193" s="44"/>
      <c r="BP193" s="45"/>
      <c r="BQ193" s="46"/>
      <c r="BZ193">
        <v>928732</v>
      </c>
      <c r="CA193">
        <v>928732</v>
      </c>
      <c r="CB193" t="b">
        <f t="shared" si="19"/>
        <v>1</v>
      </c>
    </row>
    <row r="194" spans="1:80" ht="15" customHeight="1" x14ac:dyDescent="0.25">
      <c r="A194" s="22">
        <v>3800</v>
      </c>
      <c r="B194" s="23" t="s">
        <v>436</v>
      </c>
      <c r="C194" s="22" t="s">
        <v>170</v>
      </c>
      <c r="D194" s="23" t="s">
        <v>241</v>
      </c>
      <c r="E194" s="23" t="s">
        <v>241</v>
      </c>
      <c r="F194" s="22" t="s">
        <v>437</v>
      </c>
      <c r="G194" s="22" t="s">
        <v>371</v>
      </c>
      <c r="H194" s="23" t="s">
        <v>437</v>
      </c>
      <c r="I194" s="24" t="s">
        <v>437</v>
      </c>
      <c r="J194" s="2088">
        <v>4.1666670000000003E-2</v>
      </c>
      <c r="K194" s="26" t="s">
        <v>81</v>
      </c>
      <c r="L194" s="27">
        <v>0.3</v>
      </c>
      <c r="M194" s="28">
        <v>6</v>
      </c>
      <c r="N194" s="27">
        <f t="shared" si="17"/>
        <v>1.7999999999999998</v>
      </c>
      <c r="O194" s="27">
        <f t="shared" si="18"/>
        <v>0.31701780002903407</v>
      </c>
      <c r="P194" s="28">
        <v>9</v>
      </c>
      <c r="Q194" s="28">
        <v>48</v>
      </c>
      <c r="R194" s="29">
        <f t="shared" si="23"/>
        <v>432</v>
      </c>
      <c r="S194" s="30">
        <v>0.2</v>
      </c>
      <c r="T194" s="30">
        <v>0.15</v>
      </c>
      <c r="U194" s="2089">
        <v>932505</v>
      </c>
      <c r="V194" s="2090">
        <v>5.9840425531914893E-4</v>
      </c>
      <c r="W194" s="2091">
        <v>0</v>
      </c>
      <c r="X194" s="2092">
        <v>0</v>
      </c>
      <c r="Y194" s="2091">
        <v>0</v>
      </c>
      <c r="Z194" s="2092">
        <v>0</v>
      </c>
      <c r="AA194" s="2091">
        <v>917993</v>
      </c>
      <c r="AB194" s="2092">
        <v>6</v>
      </c>
      <c r="AC194" s="2091">
        <v>929253</v>
      </c>
      <c r="AD194" s="2092">
        <v>6</v>
      </c>
      <c r="AE194" s="2091">
        <v>929269</v>
      </c>
      <c r="AF194" s="2092">
        <v>6</v>
      </c>
      <c r="AG194" s="2093"/>
      <c r="AH194" s="2094"/>
      <c r="AI194" s="2091">
        <v>0</v>
      </c>
      <c r="AJ194" s="2092">
        <v>0</v>
      </c>
      <c r="AK194" s="2095">
        <v>0</v>
      </c>
      <c r="AL194" s="2096">
        <v>0</v>
      </c>
      <c r="AM194" s="2091">
        <v>934139</v>
      </c>
      <c r="AN194" s="2097">
        <v>8.9999999999999993E-3</v>
      </c>
      <c r="AO194" s="2091">
        <v>902311</v>
      </c>
      <c r="AP194" s="2097">
        <v>1.0648000000000001E-3</v>
      </c>
      <c r="AQ194" s="2091">
        <v>902302</v>
      </c>
      <c r="AR194" s="2097">
        <v>1.8518518518518517E-2</v>
      </c>
      <c r="AS194" s="2091">
        <f>IF(K194="P",903360,0)</f>
        <v>903360</v>
      </c>
      <c r="AT194" s="2097">
        <f>1/R194</f>
        <v>2.3148148148148147E-3</v>
      </c>
      <c r="AU194" s="2091">
        <v>0</v>
      </c>
      <c r="AV194" s="2097">
        <v>0</v>
      </c>
      <c r="AW194" s="2091">
        <v>0</v>
      </c>
      <c r="AX194" s="2097">
        <v>0</v>
      </c>
      <c r="AZ194" s="2089"/>
      <c r="BA194" s="2098"/>
      <c r="BD194" s="42"/>
      <c r="BI194" s="22"/>
      <c r="BJ194" s="58"/>
      <c r="BL194" s="22"/>
      <c r="BN194" s="44"/>
      <c r="BP194" s="45"/>
      <c r="BQ194" s="46"/>
      <c r="BZ194">
        <v>932505</v>
      </c>
      <c r="CA194">
        <v>932505</v>
      </c>
      <c r="CB194" t="b">
        <f t="shared" si="19"/>
        <v>1</v>
      </c>
    </row>
    <row r="195" spans="1:80" ht="15" customHeight="1" x14ac:dyDescent="0.25">
      <c r="A195" s="22">
        <v>3801</v>
      </c>
      <c r="B195" s="23" t="s">
        <v>438</v>
      </c>
      <c r="C195" s="22" t="s">
        <v>170</v>
      </c>
      <c r="D195" s="23" t="s">
        <v>380</v>
      </c>
      <c r="E195" s="23" t="s">
        <v>380</v>
      </c>
      <c r="F195" s="22" t="s">
        <v>283</v>
      </c>
      <c r="G195" s="22" t="s">
        <v>283</v>
      </c>
      <c r="H195" s="23" t="s">
        <v>381</v>
      </c>
      <c r="I195" s="24" t="s">
        <v>381</v>
      </c>
      <c r="J195" s="2099">
        <v>0</v>
      </c>
      <c r="K195" s="26" t="s">
        <v>94</v>
      </c>
      <c r="L195" s="27">
        <v>0.5</v>
      </c>
      <c r="M195" s="28">
        <v>6</v>
      </c>
      <c r="N195" s="27">
        <f t="shared" si="17"/>
        <v>3</v>
      </c>
      <c r="O195" s="27">
        <f t="shared" si="18"/>
        <v>0.5283630000483901</v>
      </c>
      <c r="P195" s="28">
        <v>7</v>
      </c>
      <c r="Q195" s="28">
        <v>45</v>
      </c>
      <c r="R195" s="29">
        <f t="shared" si="23"/>
        <v>315</v>
      </c>
      <c r="S195" s="30">
        <v>0.22</v>
      </c>
      <c r="T195" s="30">
        <v>0.1</v>
      </c>
      <c r="U195" s="2100"/>
      <c r="V195" s="2101"/>
      <c r="W195" s="2102"/>
      <c r="X195" s="2103">
        <v>0</v>
      </c>
      <c r="Y195" s="2102"/>
      <c r="Z195" s="2103">
        <v>0</v>
      </c>
      <c r="AA195" s="2102"/>
      <c r="AB195" s="2103"/>
      <c r="AC195" s="2102">
        <v>0</v>
      </c>
      <c r="AD195" s="2103">
        <v>0</v>
      </c>
      <c r="AE195" s="2102">
        <v>0</v>
      </c>
      <c r="AF195" s="2103">
        <v>0</v>
      </c>
      <c r="AG195" s="2104"/>
      <c r="AH195" s="2105"/>
      <c r="AI195" s="2102">
        <v>0</v>
      </c>
      <c r="AJ195" s="2103">
        <v>0</v>
      </c>
      <c r="AK195" s="2106">
        <v>0</v>
      </c>
      <c r="AL195" s="2107">
        <v>0</v>
      </c>
      <c r="AM195" s="2102">
        <v>0</v>
      </c>
      <c r="AN195" s="2108">
        <v>0</v>
      </c>
      <c r="AO195" s="2102">
        <v>0</v>
      </c>
      <c r="AP195" s="2108">
        <v>0</v>
      </c>
      <c r="AQ195" s="2102">
        <v>0</v>
      </c>
      <c r="AR195" s="2108">
        <v>0</v>
      </c>
      <c r="AS195" s="2102">
        <v>0</v>
      </c>
      <c r="AT195" s="2108">
        <v>0</v>
      </c>
      <c r="AU195" s="2102">
        <v>0</v>
      </c>
      <c r="AV195" s="2108">
        <v>0</v>
      </c>
      <c r="AW195" s="2102">
        <v>0</v>
      </c>
      <c r="AX195" s="2108">
        <v>0</v>
      </c>
      <c r="AZ195" s="2100"/>
      <c r="BA195" s="2109"/>
      <c r="BD195" s="42"/>
      <c r="BI195" s="22"/>
      <c r="BJ195" s="58"/>
      <c r="BL195" s="22"/>
      <c r="BN195" s="44"/>
      <c r="BP195" s="45"/>
      <c r="BQ195" s="46"/>
      <c r="CA195">
        <v>0</v>
      </c>
      <c r="CB195" t="b">
        <f t="shared" si="19"/>
        <v>1</v>
      </c>
    </row>
    <row r="196" spans="1:80" ht="15" customHeight="1" x14ac:dyDescent="0.25">
      <c r="A196" s="22">
        <v>3826</v>
      </c>
      <c r="B196" s="23" t="s">
        <v>439</v>
      </c>
      <c r="C196" s="22" t="s">
        <v>170</v>
      </c>
      <c r="D196" s="23" t="s">
        <v>349</v>
      </c>
      <c r="E196" s="23" t="s">
        <v>440</v>
      </c>
      <c r="F196" s="22" t="s">
        <v>255</v>
      </c>
      <c r="G196" s="22" t="s">
        <v>255</v>
      </c>
      <c r="H196" s="23" t="s">
        <v>353</v>
      </c>
      <c r="I196" s="24" t="s">
        <v>353</v>
      </c>
      <c r="J196" s="2110">
        <v>4.1666670000000003E-2</v>
      </c>
      <c r="K196" s="26" t="s">
        <v>81</v>
      </c>
      <c r="L196" s="27">
        <v>1.5</v>
      </c>
      <c r="M196" s="28">
        <v>6</v>
      </c>
      <c r="N196" s="27">
        <f t="shared" si="17"/>
        <v>9</v>
      </c>
      <c r="O196" s="27">
        <f t="shared" si="18"/>
        <v>1.5850890001451705</v>
      </c>
      <c r="P196" s="28">
        <v>4</v>
      </c>
      <c r="Q196" s="28">
        <v>28</v>
      </c>
      <c r="R196" s="29">
        <f t="shared" si="23"/>
        <v>112</v>
      </c>
      <c r="S196" s="30">
        <v>0.17</v>
      </c>
      <c r="T196" s="30">
        <v>0</v>
      </c>
      <c r="U196" s="2111">
        <v>931337</v>
      </c>
      <c r="V196" s="2112">
        <v>4.5000000000000005E-3</v>
      </c>
      <c r="W196" s="2113">
        <v>0</v>
      </c>
      <c r="X196" s="2114">
        <v>0</v>
      </c>
      <c r="Y196" s="2113">
        <v>0</v>
      </c>
      <c r="Z196" s="2114">
        <v>0</v>
      </c>
      <c r="AA196" s="2113">
        <v>902257</v>
      </c>
      <c r="AB196" s="2114">
        <v>6</v>
      </c>
      <c r="AC196" s="2113">
        <v>931327</v>
      </c>
      <c r="AD196" s="2114">
        <v>6</v>
      </c>
      <c r="AE196" s="2113">
        <v>933429</v>
      </c>
      <c r="AF196" s="2114">
        <v>6</v>
      </c>
      <c r="AG196" s="2115"/>
      <c r="AH196" s="2116"/>
      <c r="AI196" s="2113">
        <v>0</v>
      </c>
      <c r="AJ196" s="2114">
        <v>0</v>
      </c>
      <c r="AK196" s="2117">
        <v>0</v>
      </c>
      <c r="AL196" s="2118">
        <v>0</v>
      </c>
      <c r="AM196" s="2113">
        <v>939125</v>
      </c>
      <c r="AN196" s="2119">
        <v>2.92E-2</v>
      </c>
      <c r="AO196" s="2113">
        <v>902311</v>
      </c>
      <c r="AP196" s="2119">
        <v>4.0178571428571433E-3</v>
      </c>
      <c r="AQ196" s="2113">
        <v>933089</v>
      </c>
      <c r="AR196" s="2119">
        <v>2.6785714285714284E-2</v>
      </c>
      <c r="AS196" s="2113">
        <f t="shared" ref="AS196:AS201" si="24">IF(K196="P",903360,0)</f>
        <v>903360</v>
      </c>
      <c r="AT196" s="2119">
        <f t="shared" ref="AT196:AT201" si="25">1/R196</f>
        <v>8.9285714285714281E-3</v>
      </c>
      <c r="AU196" s="2113">
        <v>0</v>
      </c>
      <c r="AV196" s="2119">
        <v>0</v>
      </c>
      <c r="AW196" s="2113">
        <v>0</v>
      </c>
      <c r="AX196" s="2119">
        <v>0</v>
      </c>
      <c r="AZ196" s="2111">
        <v>936704</v>
      </c>
      <c r="BA196" s="2120">
        <v>3.4510859409123774E-2</v>
      </c>
      <c r="BD196" s="42"/>
      <c r="BI196" s="22"/>
      <c r="BJ196" s="58"/>
      <c r="BL196" s="22"/>
      <c r="BN196" s="44"/>
      <c r="BP196" s="45"/>
      <c r="BQ196" s="46"/>
      <c r="BZ196">
        <v>931337</v>
      </c>
      <c r="CA196">
        <v>931337</v>
      </c>
      <c r="CB196" t="b">
        <f t="shared" si="19"/>
        <v>1</v>
      </c>
    </row>
    <row r="197" spans="1:80" ht="15" customHeight="1" x14ac:dyDescent="0.25">
      <c r="A197" s="22">
        <v>3828</v>
      </c>
      <c r="B197" s="23" t="s">
        <v>441</v>
      </c>
      <c r="C197" s="22" t="s">
        <v>170</v>
      </c>
      <c r="D197" s="23" t="s">
        <v>349</v>
      </c>
      <c r="E197" s="23" t="s">
        <v>440</v>
      </c>
      <c r="F197" s="22" t="s">
        <v>118</v>
      </c>
      <c r="G197" s="22" t="s">
        <v>118</v>
      </c>
      <c r="H197" s="23" t="s">
        <v>355</v>
      </c>
      <c r="I197" s="24" t="s">
        <v>355</v>
      </c>
      <c r="J197" s="2121">
        <v>4.1666670000000003E-2</v>
      </c>
      <c r="K197" s="26" t="s">
        <v>81</v>
      </c>
      <c r="L197" s="27">
        <v>2.25</v>
      </c>
      <c r="M197" s="28">
        <v>6</v>
      </c>
      <c r="N197" s="27">
        <f t="shared" si="17"/>
        <v>13.5</v>
      </c>
      <c r="O197" s="27">
        <f t="shared" si="18"/>
        <v>2.3776335002177555</v>
      </c>
      <c r="P197" s="28">
        <v>4</v>
      </c>
      <c r="Q197" s="28">
        <v>20</v>
      </c>
      <c r="R197" s="29">
        <f t="shared" si="23"/>
        <v>80</v>
      </c>
      <c r="S197" s="30">
        <v>0.17</v>
      </c>
      <c r="T197" s="30">
        <v>0</v>
      </c>
      <c r="U197" s="2122">
        <v>931337</v>
      </c>
      <c r="V197" s="2123">
        <v>6.7499999999999991E-3</v>
      </c>
      <c r="W197" s="2124">
        <v>0</v>
      </c>
      <c r="X197" s="2125">
        <v>0</v>
      </c>
      <c r="Y197" s="2124">
        <v>0</v>
      </c>
      <c r="Z197" s="2125">
        <v>0</v>
      </c>
      <c r="AA197" s="2124">
        <v>902257</v>
      </c>
      <c r="AB197" s="2125">
        <v>6</v>
      </c>
      <c r="AC197" s="2124">
        <v>931328</v>
      </c>
      <c r="AD197" s="2125">
        <v>6</v>
      </c>
      <c r="AE197" s="2124">
        <v>911881</v>
      </c>
      <c r="AF197" s="2125">
        <v>6</v>
      </c>
      <c r="AG197" s="2126"/>
      <c r="AH197" s="2127"/>
      <c r="AI197" s="2124">
        <v>0</v>
      </c>
      <c r="AJ197" s="2125">
        <v>0</v>
      </c>
      <c r="AK197" s="2128">
        <v>0</v>
      </c>
      <c r="AL197" s="2129">
        <v>0</v>
      </c>
      <c r="AM197" s="2124">
        <v>939124</v>
      </c>
      <c r="AN197" s="2130">
        <v>4.1099999999999998E-2</v>
      </c>
      <c r="AO197" s="2124">
        <v>902311</v>
      </c>
      <c r="AP197" s="2131">
        <v>4.3750000000000004E-3</v>
      </c>
      <c r="AQ197" s="2124">
        <v>933089</v>
      </c>
      <c r="AR197" s="2131">
        <v>3.7499999999999999E-2</v>
      </c>
      <c r="AS197" s="2124">
        <f t="shared" si="24"/>
        <v>903360</v>
      </c>
      <c r="AT197" s="2131">
        <f t="shared" si="25"/>
        <v>1.2500000000000001E-2</v>
      </c>
      <c r="AU197" s="2124">
        <v>0</v>
      </c>
      <c r="AV197" s="2131">
        <v>0</v>
      </c>
      <c r="AW197" s="2124">
        <v>0</v>
      </c>
      <c r="AX197" s="2131">
        <v>0</v>
      </c>
      <c r="AZ197" s="2122">
        <v>936704</v>
      </c>
      <c r="BA197" s="2132">
        <v>3.4510859409123774E-2</v>
      </c>
      <c r="BD197" s="42"/>
      <c r="BI197" s="22"/>
      <c r="BJ197" s="58"/>
      <c r="BL197" s="22"/>
      <c r="BN197" s="44"/>
      <c r="BP197" s="45"/>
      <c r="BQ197" s="46"/>
      <c r="BZ197">
        <v>931337</v>
      </c>
      <c r="CA197">
        <v>931337</v>
      </c>
      <c r="CB197" t="b">
        <f t="shared" si="19"/>
        <v>1</v>
      </c>
    </row>
    <row r="198" spans="1:80" ht="15" customHeight="1" x14ac:dyDescent="0.25">
      <c r="A198" s="22">
        <v>3836</v>
      </c>
      <c r="B198" s="23" t="s">
        <v>442</v>
      </c>
      <c r="C198" s="22" t="s">
        <v>170</v>
      </c>
      <c r="D198" s="23" t="s">
        <v>349</v>
      </c>
      <c r="E198" s="23" t="s">
        <v>440</v>
      </c>
      <c r="F198" s="22" t="s">
        <v>255</v>
      </c>
      <c r="G198" s="22" t="s">
        <v>255</v>
      </c>
      <c r="H198" s="23" t="s">
        <v>353</v>
      </c>
      <c r="I198" s="24" t="s">
        <v>353</v>
      </c>
      <c r="J198" s="2133">
        <v>4.1666670000000003E-2</v>
      </c>
      <c r="K198" s="26" t="s">
        <v>81</v>
      </c>
      <c r="L198" s="27">
        <v>1.5</v>
      </c>
      <c r="M198" s="28">
        <v>6</v>
      </c>
      <c r="N198" s="27">
        <f t="shared" si="17"/>
        <v>9</v>
      </c>
      <c r="O198" s="27">
        <f t="shared" si="18"/>
        <v>1.5850890001451705</v>
      </c>
      <c r="P198" s="28">
        <v>4</v>
      </c>
      <c r="Q198" s="28">
        <v>28</v>
      </c>
      <c r="R198" s="29">
        <f t="shared" si="23"/>
        <v>112</v>
      </c>
      <c r="S198" s="30">
        <v>0.17</v>
      </c>
      <c r="T198" s="30">
        <v>0</v>
      </c>
      <c r="U198" s="2134">
        <v>931336</v>
      </c>
      <c r="V198" s="2135">
        <v>4.5000000000000005E-3</v>
      </c>
      <c r="W198" s="2136">
        <v>0</v>
      </c>
      <c r="X198" s="2137">
        <v>0</v>
      </c>
      <c r="Y198" s="2136">
        <v>0</v>
      </c>
      <c r="Z198" s="2137">
        <v>0</v>
      </c>
      <c r="AA198" s="2136">
        <v>902257</v>
      </c>
      <c r="AB198" s="2137">
        <v>6</v>
      </c>
      <c r="AC198" s="2136">
        <v>931324</v>
      </c>
      <c r="AD198" s="2137">
        <v>6</v>
      </c>
      <c r="AE198" s="2136">
        <v>933429</v>
      </c>
      <c r="AF198" s="2137">
        <v>6</v>
      </c>
      <c r="AG198" s="2138"/>
      <c r="AH198" s="2139"/>
      <c r="AI198" s="2136">
        <v>0</v>
      </c>
      <c r="AJ198" s="2137">
        <v>0</v>
      </c>
      <c r="AK198" s="2140">
        <v>0</v>
      </c>
      <c r="AL198" s="2141">
        <v>0</v>
      </c>
      <c r="AM198" s="2136">
        <v>939125</v>
      </c>
      <c r="AN198" s="2142">
        <v>2.92E-2</v>
      </c>
      <c r="AO198" s="2136">
        <v>902311</v>
      </c>
      <c r="AP198" s="2142">
        <v>4.0178571428571433E-3</v>
      </c>
      <c r="AQ198" s="2136">
        <v>933089</v>
      </c>
      <c r="AR198" s="2142">
        <v>2.6785714285714284E-2</v>
      </c>
      <c r="AS198" s="2136">
        <f t="shared" si="24"/>
        <v>903360</v>
      </c>
      <c r="AT198" s="2142">
        <f t="shared" si="25"/>
        <v>8.9285714285714281E-3</v>
      </c>
      <c r="AU198" s="2136">
        <v>0</v>
      </c>
      <c r="AV198" s="2142">
        <v>0</v>
      </c>
      <c r="AW198" s="2136">
        <v>0</v>
      </c>
      <c r="AX198" s="2142">
        <v>0</v>
      </c>
      <c r="AZ198" s="2134">
        <v>936704</v>
      </c>
      <c r="BA198" s="2143">
        <v>3.4510859409123774E-2</v>
      </c>
      <c r="BD198" s="42"/>
      <c r="BI198" s="22"/>
      <c r="BJ198" s="58"/>
      <c r="BL198" s="22"/>
      <c r="BN198" s="44"/>
      <c r="BP198" s="45"/>
      <c r="BQ198" s="46"/>
      <c r="BZ198">
        <v>931336</v>
      </c>
      <c r="CA198">
        <v>931336</v>
      </c>
      <c r="CB198" t="b">
        <f t="shared" si="19"/>
        <v>1</v>
      </c>
    </row>
    <row r="199" spans="1:80" ht="15" customHeight="1" x14ac:dyDescent="0.25">
      <c r="A199" s="22">
        <v>3838</v>
      </c>
      <c r="B199" s="23" t="s">
        <v>443</v>
      </c>
      <c r="C199" s="22" t="s">
        <v>170</v>
      </c>
      <c r="D199" s="23" t="s">
        <v>349</v>
      </c>
      <c r="E199" s="23" t="s">
        <v>440</v>
      </c>
      <c r="F199" s="22" t="s">
        <v>118</v>
      </c>
      <c r="G199" s="22" t="s">
        <v>118</v>
      </c>
      <c r="H199" s="23" t="s">
        <v>355</v>
      </c>
      <c r="I199" s="24" t="s">
        <v>355</v>
      </c>
      <c r="J199" s="2144">
        <v>4.1666670000000003E-2</v>
      </c>
      <c r="K199" s="26" t="s">
        <v>81</v>
      </c>
      <c r="L199" s="27">
        <v>2.25</v>
      </c>
      <c r="M199" s="28">
        <v>6</v>
      </c>
      <c r="N199" s="27">
        <f t="shared" si="17"/>
        <v>13.5</v>
      </c>
      <c r="O199" s="27">
        <f t="shared" si="18"/>
        <v>2.3776335002177555</v>
      </c>
      <c r="P199" s="28">
        <v>4</v>
      </c>
      <c r="Q199" s="28">
        <v>20</v>
      </c>
      <c r="R199" s="29">
        <f t="shared" si="23"/>
        <v>80</v>
      </c>
      <c r="S199" s="30">
        <v>0.17</v>
      </c>
      <c r="T199" s="30">
        <v>0</v>
      </c>
      <c r="U199" s="2145">
        <v>931336</v>
      </c>
      <c r="V199" s="2146">
        <v>6.7499999999999991E-3</v>
      </c>
      <c r="W199" s="2147">
        <v>0</v>
      </c>
      <c r="X199" s="2148">
        <v>0</v>
      </c>
      <c r="Y199" s="2147">
        <v>0</v>
      </c>
      <c r="Z199" s="2148">
        <v>0</v>
      </c>
      <c r="AA199" s="2147">
        <v>902257</v>
      </c>
      <c r="AB199" s="2148">
        <v>6</v>
      </c>
      <c r="AC199" s="2147">
        <v>931325</v>
      </c>
      <c r="AD199" s="2148">
        <v>6</v>
      </c>
      <c r="AE199" s="2147">
        <v>911881</v>
      </c>
      <c r="AF199" s="2148">
        <v>6</v>
      </c>
      <c r="AG199" s="2149"/>
      <c r="AH199" s="2150"/>
      <c r="AI199" s="2147">
        <v>0</v>
      </c>
      <c r="AJ199" s="2148">
        <v>0</v>
      </c>
      <c r="AK199" s="2151">
        <v>0</v>
      </c>
      <c r="AL199" s="2152">
        <v>0</v>
      </c>
      <c r="AM199" s="2147">
        <v>939124</v>
      </c>
      <c r="AN199" s="2153">
        <v>4.1099999999999998E-2</v>
      </c>
      <c r="AO199" s="2147">
        <v>902311</v>
      </c>
      <c r="AP199" s="2154">
        <v>4.3750000000000004E-3</v>
      </c>
      <c r="AQ199" s="2147">
        <v>933089</v>
      </c>
      <c r="AR199" s="2154">
        <v>3.7499999999999999E-2</v>
      </c>
      <c r="AS199" s="2147">
        <f t="shared" si="24"/>
        <v>903360</v>
      </c>
      <c r="AT199" s="2154">
        <f t="shared" si="25"/>
        <v>1.2500000000000001E-2</v>
      </c>
      <c r="AU199" s="2147">
        <v>0</v>
      </c>
      <c r="AV199" s="2154">
        <v>0</v>
      </c>
      <c r="AW199" s="2147">
        <v>0</v>
      </c>
      <c r="AX199" s="2154">
        <v>0</v>
      </c>
      <c r="AZ199" s="2145">
        <v>936704</v>
      </c>
      <c r="BA199" s="2155">
        <v>3.4510859409123774E-2</v>
      </c>
      <c r="BD199" s="42"/>
      <c r="BI199" s="22"/>
      <c r="BJ199" s="58"/>
      <c r="BL199" s="22" t="s">
        <v>163</v>
      </c>
      <c r="BN199" s="44"/>
      <c r="BP199" s="45"/>
      <c r="BQ199" s="46"/>
      <c r="BZ199">
        <v>931336</v>
      </c>
      <c r="CA199">
        <v>931336</v>
      </c>
      <c r="CB199" t="b">
        <f t="shared" si="19"/>
        <v>1</v>
      </c>
    </row>
    <row r="200" spans="1:80" ht="15" customHeight="1" x14ac:dyDescent="0.25">
      <c r="A200" s="22">
        <v>3846</v>
      </c>
      <c r="B200" s="23" t="s">
        <v>444</v>
      </c>
      <c r="C200" s="22" t="s">
        <v>170</v>
      </c>
      <c r="D200" s="23" t="s">
        <v>349</v>
      </c>
      <c r="E200" s="23" t="s">
        <v>440</v>
      </c>
      <c r="F200" s="22" t="s">
        <v>255</v>
      </c>
      <c r="G200" s="22" t="s">
        <v>255</v>
      </c>
      <c r="H200" s="23" t="s">
        <v>353</v>
      </c>
      <c r="I200" s="24" t="s">
        <v>353</v>
      </c>
      <c r="J200" s="2156">
        <v>4.1666670000000003E-2</v>
      </c>
      <c r="K200" s="26" t="s">
        <v>81</v>
      </c>
      <c r="L200" s="27">
        <v>1.5</v>
      </c>
      <c r="M200" s="28">
        <v>6</v>
      </c>
      <c r="N200" s="27">
        <f>L200*M200</f>
        <v>9</v>
      </c>
      <c r="O200" s="27">
        <f>N200/$O$6</f>
        <v>1.5850890001451705</v>
      </c>
      <c r="P200" s="28">
        <v>4</v>
      </c>
      <c r="Q200" s="28">
        <v>28</v>
      </c>
      <c r="R200" s="29">
        <f t="shared" si="23"/>
        <v>112</v>
      </c>
      <c r="S200" s="30">
        <v>0.17</v>
      </c>
      <c r="T200" s="30">
        <v>0</v>
      </c>
      <c r="U200" s="2157">
        <v>931338</v>
      </c>
      <c r="V200" s="2158">
        <v>4.4286979627989375E-3</v>
      </c>
      <c r="W200" s="2159">
        <v>0</v>
      </c>
      <c r="X200" s="2160">
        <v>0</v>
      </c>
      <c r="Y200" s="2159">
        <v>0</v>
      </c>
      <c r="Z200" s="2160">
        <v>0</v>
      </c>
      <c r="AA200" s="2159">
        <v>902257</v>
      </c>
      <c r="AB200" s="2160">
        <v>6</v>
      </c>
      <c r="AC200" s="2159">
        <v>931330</v>
      </c>
      <c r="AD200" s="2160">
        <v>6</v>
      </c>
      <c r="AE200" s="2159">
        <v>933429</v>
      </c>
      <c r="AF200" s="2160">
        <v>6</v>
      </c>
      <c r="AG200" s="2161"/>
      <c r="AH200" s="2162"/>
      <c r="AI200" s="2159">
        <v>0</v>
      </c>
      <c r="AJ200" s="2160">
        <v>0</v>
      </c>
      <c r="AK200" s="2163">
        <v>0</v>
      </c>
      <c r="AL200" s="2164">
        <v>0</v>
      </c>
      <c r="AM200" s="2159">
        <v>939125</v>
      </c>
      <c r="AN200" s="2165">
        <v>2.92E-2</v>
      </c>
      <c r="AO200" s="2159">
        <v>902311</v>
      </c>
      <c r="AP200" s="2165">
        <v>4.0178571428571433E-3</v>
      </c>
      <c r="AQ200" s="2159">
        <v>933089</v>
      </c>
      <c r="AR200" s="2165">
        <v>2.6785714285714284E-2</v>
      </c>
      <c r="AS200" s="2159">
        <f t="shared" si="24"/>
        <v>903360</v>
      </c>
      <c r="AT200" s="2165">
        <f t="shared" si="25"/>
        <v>8.9285714285714281E-3</v>
      </c>
      <c r="AU200" s="2159">
        <v>0</v>
      </c>
      <c r="AV200" s="2165">
        <v>0</v>
      </c>
      <c r="AW200" s="2159">
        <v>0</v>
      </c>
      <c r="AX200" s="2165">
        <v>0</v>
      </c>
      <c r="AZ200" s="2157">
        <v>936704</v>
      </c>
      <c r="BA200" s="2166">
        <v>3.4510859409123774E-2</v>
      </c>
      <c r="BD200" s="42"/>
      <c r="BI200" s="22"/>
      <c r="BJ200" s="58"/>
      <c r="BL200" s="22"/>
      <c r="BN200" s="44"/>
      <c r="BP200" s="45"/>
      <c r="BQ200" s="46"/>
      <c r="BZ200">
        <v>931338</v>
      </c>
      <c r="CA200">
        <v>931338</v>
      </c>
      <c r="CB200" t="b">
        <f t="shared" si="19"/>
        <v>1</v>
      </c>
    </row>
    <row r="201" spans="1:80" ht="15" customHeight="1" x14ac:dyDescent="0.25">
      <c r="A201" s="22">
        <v>3848</v>
      </c>
      <c r="B201" s="23" t="s">
        <v>445</v>
      </c>
      <c r="C201" s="22" t="s">
        <v>170</v>
      </c>
      <c r="D201" s="23" t="s">
        <v>349</v>
      </c>
      <c r="E201" s="23" t="s">
        <v>440</v>
      </c>
      <c r="F201" s="22" t="s">
        <v>118</v>
      </c>
      <c r="G201" s="22" t="s">
        <v>118</v>
      </c>
      <c r="H201" s="23" t="s">
        <v>355</v>
      </c>
      <c r="I201" s="24" t="s">
        <v>355</v>
      </c>
      <c r="J201" s="2167">
        <v>4.1666670000000003E-2</v>
      </c>
      <c r="K201" s="26" t="s">
        <v>81</v>
      </c>
      <c r="L201" s="27">
        <v>2.25</v>
      </c>
      <c r="M201" s="28">
        <v>6</v>
      </c>
      <c r="N201" s="27">
        <f>L201*M201</f>
        <v>13.5</v>
      </c>
      <c r="O201" s="27">
        <f>N201/$O$6</f>
        <v>2.3776335002177555</v>
      </c>
      <c r="P201" s="28">
        <v>4</v>
      </c>
      <c r="Q201" s="28">
        <v>20</v>
      </c>
      <c r="R201" s="29">
        <f t="shared" si="23"/>
        <v>80</v>
      </c>
      <c r="S201" s="30">
        <v>0.17</v>
      </c>
      <c r="T201" s="30">
        <v>0</v>
      </c>
      <c r="U201" s="2168">
        <v>931338</v>
      </c>
      <c r="V201" s="2169">
        <v>6.6430469441984049E-3</v>
      </c>
      <c r="W201" s="2170">
        <v>0</v>
      </c>
      <c r="X201" s="2171">
        <v>0</v>
      </c>
      <c r="Y201" s="2170">
        <v>0</v>
      </c>
      <c r="Z201" s="2171">
        <v>0</v>
      </c>
      <c r="AA201" s="2170">
        <v>902257</v>
      </c>
      <c r="AB201" s="2171">
        <v>6</v>
      </c>
      <c r="AC201" s="2170">
        <v>931331</v>
      </c>
      <c r="AD201" s="2171">
        <v>6</v>
      </c>
      <c r="AE201" s="2170">
        <v>911881</v>
      </c>
      <c r="AF201" s="2171">
        <v>6</v>
      </c>
      <c r="AG201" s="2172"/>
      <c r="AH201" s="2173"/>
      <c r="AI201" s="2170">
        <v>0</v>
      </c>
      <c r="AJ201" s="2171">
        <v>0</v>
      </c>
      <c r="AK201" s="2174">
        <v>0</v>
      </c>
      <c r="AL201" s="2175">
        <v>0</v>
      </c>
      <c r="AM201" s="2170">
        <v>939124</v>
      </c>
      <c r="AN201" s="2176">
        <v>4.1099999999999998E-2</v>
      </c>
      <c r="AO201" s="2170">
        <v>902311</v>
      </c>
      <c r="AP201" s="2177">
        <v>4.3750000000000004E-3</v>
      </c>
      <c r="AQ201" s="2170">
        <v>933089</v>
      </c>
      <c r="AR201" s="2177">
        <v>3.7499999999999999E-2</v>
      </c>
      <c r="AS201" s="2170">
        <f t="shared" si="24"/>
        <v>903360</v>
      </c>
      <c r="AT201" s="2177">
        <f t="shared" si="25"/>
        <v>1.2500000000000001E-2</v>
      </c>
      <c r="AU201" s="2170">
        <v>0</v>
      </c>
      <c r="AV201" s="2177">
        <v>0</v>
      </c>
      <c r="AW201" s="2170">
        <v>0</v>
      </c>
      <c r="AX201" s="2177">
        <v>0</v>
      </c>
      <c r="AZ201" s="2168">
        <v>936704</v>
      </c>
      <c r="BA201" s="2178">
        <v>3.4510859409123774E-2</v>
      </c>
      <c r="BD201" s="42"/>
      <c r="BI201" s="22"/>
      <c r="BJ201" s="58"/>
      <c r="BL201" s="22"/>
      <c r="BN201" s="44"/>
      <c r="BP201" s="45"/>
      <c r="BQ201" s="46"/>
      <c r="BZ201">
        <v>931338</v>
      </c>
      <c r="CA201">
        <v>931338</v>
      </c>
      <c r="CB201" t="b">
        <f>+BZ201=CA201</f>
        <v>1</v>
      </c>
    </row>
    <row r="202" spans="1:80" ht="15" customHeight="1" x14ac:dyDescent="0.25">
      <c r="A202" s="22">
        <v>3927</v>
      </c>
      <c r="B202" s="23" t="s">
        <v>446</v>
      </c>
      <c r="C202" s="22" t="s">
        <v>76</v>
      </c>
      <c r="D202" s="23" t="s">
        <v>138</v>
      </c>
      <c r="E202" s="23" t="s">
        <v>447</v>
      </c>
      <c r="F202" s="22" t="s">
        <v>283</v>
      </c>
      <c r="G202" s="22" t="s">
        <v>283</v>
      </c>
      <c r="H202" s="23" t="s">
        <v>284</v>
      </c>
      <c r="I202" s="24"/>
      <c r="J202" s="2179">
        <v>8.6956519999999995E-2</v>
      </c>
      <c r="K202" s="26" t="s">
        <v>94</v>
      </c>
      <c r="L202" s="27">
        <v>0.5</v>
      </c>
      <c r="M202" s="28">
        <v>6</v>
      </c>
      <c r="N202" s="27">
        <f>L202*M202</f>
        <v>3</v>
      </c>
      <c r="O202" s="27">
        <f>N202/$O$6</f>
        <v>0.5283630000483901</v>
      </c>
      <c r="P202" s="28">
        <v>6</v>
      </c>
      <c r="Q202" s="28">
        <v>48</v>
      </c>
      <c r="R202" s="29">
        <f t="shared" si="23"/>
        <v>288</v>
      </c>
      <c r="S202" s="30">
        <v>0.20250000000000001</v>
      </c>
      <c r="T202" s="30">
        <v>0.1</v>
      </c>
      <c r="U202" s="2180"/>
      <c r="V202" s="2181"/>
      <c r="W202" s="2182"/>
      <c r="X202" s="2183">
        <v>0</v>
      </c>
      <c r="Y202" s="2182"/>
      <c r="Z202" s="2183">
        <v>0</v>
      </c>
      <c r="AA202" s="2182"/>
      <c r="AB202" s="2183"/>
      <c r="AC202" s="2182">
        <v>0</v>
      </c>
      <c r="AD202" s="2183">
        <v>0</v>
      </c>
      <c r="AE202" s="2182">
        <v>0</v>
      </c>
      <c r="AF202" s="2183">
        <v>0</v>
      </c>
      <c r="AG202" s="2184"/>
      <c r="AH202" s="2185"/>
      <c r="AI202" s="2182">
        <v>0</v>
      </c>
      <c r="AJ202" s="2183">
        <v>0</v>
      </c>
      <c r="AK202" s="2186">
        <v>0</v>
      </c>
      <c r="AL202" s="2187">
        <v>0</v>
      </c>
      <c r="AM202" s="2182">
        <v>0</v>
      </c>
      <c r="AN202" s="2188">
        <v>0</v>
      </c>
      <c r="AO202" s="2182">
        <v>0</v>
      </c>
      <c r="AP202" s="2188">
        <v>0</v>
      </c>
      <c r="AQ202" s="2182">
        <v>0</v>
      </c>
      <c r="AR202" s="2188">
        <v>0</v>
      </c>
      <c r="AS202" s="2182">
        <v>0</v>
      </c>
      <c r="AT202" s="2188">
        <v>0</v>
      </c>
      <c r="AU202" s="2182">
        <v>0</v>
      </c>
      <c r="AV202" s="2188">
        <v>0</v>
      </c>
      <c r="AW202" s="2182">
        <v>0</v>
      </c>
      <c r="AX202" s="2188">
        <v>0</v>
      </c>
      <c r="AZ202" s="2180"/>
      <c r="BA202" s="2189"/>
      <c r="BD202" s="42"/>
      <c r="BI202" s="22"/>
      <c r="BJ202" s="58"/>
      <c r="BL202" s="22"/>
      <c r="BN202" s="44"/>
      <c r="BP202" s="45"/>
      <c r="BQ202" s="46"/>
      <c r="CA202">
        <v>0</v>
      </c>
      <c r="CB202" t="b">
        <f>+BZ202=CA202</f>
        <v>1</v>
      </c>
    </row>
    <row r="203" spans="1:80" ht="15" customHeight="1" x14ac:dyDescent="0.25">
      <c r="A203" s="22">
        <v>8909</v>
      </c>
      <c r="B203" s="23" t="s">
        <v>448</v>
      </c>
      <c r="C203" s="22" t="s">
        <v>449</v>
      </c>
      <c r="D203" s="23" t="s">
        <v>449</v>
      </c>
      <c r="E203" s="23"/>
      <c r="F203" s="22"/>
      <c r="G203" s="22"/>
      <c r="H203" s="23"/>
      <c r="I203" s="24"/>
      <c r="J203" s="2190"/>
      <c r="K203" s="26" t="s">
        <v>450</v>
      </c>
      <c r="L203" s="27"/>
      <c r="M203" s="28"/>
      <c r="N203" s="27"/>
      <c r="O203" s="27"/>
      <c r="P203" s="28"/>
      <c r="Q203" s="28"/>
      <c r="R203" s="29"/>
      <c r="S203" s="30"/>
      <c r="T203" s="30"/>
      <c r="U203" s="2191"/>
      <c r="V203" s="2192"/>
      <c r="W203" s="2193"/>
      <c r="X203" s="2194">
        <v>0</v>
      </c>
      <c r="Y203" s="2193"/>
      <c r="Z203" s="2194">
        <v>0</v>
      </c>
      <c r="AA203" s="2193"/>
      <c r="AB203" s="2194"/>
      <c r="AC203" s="2193">
        <v>0</v>
      </c>
      <c r="AD203" s="2194">
        <v>0</v>
      </c>
      <c r="AE203" s="2193">
        <v>0</v>
      </c>
      <c r="AF203" s="2194">
        <v>0</v>
      </c>
      <c r="AG203" s="2195"/>
      <c r="AH203" s="2196"/>
      <c r="AI203" s="2193">
        <v>0</v>
      </c>
      <c r="AJ203" s="2194">
        <v>0</v>
      </c>
      <c r="AK203" s="2197">
        <v>0</v>
      </c>
      <c r="AL203" s="2198">
        <v>0</v>
      </c>
      <c r="AM203" s="2193">
        <v>0</v>
      </c>
      <c r="AN203" s="2199">
        <v>0</v>
      </c>
      <c r="AO203" s="2193">
        <v>0</v>
      </c>
      <c r="AP203" s="2199">
        <v>0</v>
      </c>
      <c r="AQ203" s="2193">
        <v>0</v>
      </c>
      <c r="AR203" s="2199">
        <v>0</v>
      </c>
      <c r="AS203" s="2193">
        <v>0</v>
      </c>
      <c r="AT203" s="2199">
        <v>0</v>
      </c>
      <c r="AU203" s="2193">
        <v>0</v>
      </c>
      <c r="AV203" s="2199">
        <v>0</v>
      </c>
      <c r="AW203" s="2193">
        <v>0</v>
      </c>
      <c r="AX203" s="2199">
        <v>0</v>
      </c>
      <c r="AZ203" s="2191"/>
      <c r="BA203" s="2200"/>
      <c r="BD203" s="42"/>
      <c r="BI203" s="22"/>
      <c r="BJ203" s="58"/>
      <c r="BL203" s="22"/>
      <c r="BN203" s="44"/>
      <c r="BP203" s="45"/>
      <c r="BQ203" s="46"/>
      <c r="CA203">
        <v>0</v>
      </c>
      <c r="CB203" t="b">
        <f>+BZ203=CA203</f>
        <v>1</v>
      </c>
    </row>
    <row r="204" spans="1:80" ht="15" customHeight="1" x14ac:dyDescent="0.25">
      <c r="A204" s="22">
        <v>1059</v>
      </c>
      <c r="B204" s="23" t="s">
        <v>451</v>
      </c>
      <c r="C204" s="22" t="s">
        <v>76</v>
      </c>
      <c r="D204" s="23" t="s">
        <v>138</v>
      </c>
      <c r="E204" s="23" t="s">
        <v>244</v>
      </c>
      <c r="F204" s="22" t="s">
        <v>118</v>
      </c>
      <c r="G204" s="22" t="s">
        <v>118</v>
      </c>
      <c r="H204" s="23" t="s">
        <v>125</v>
      </c>
      <c r="I204" s="24" t="s">
        <v>125</v>
      </c>
      <c r="J204" s="2201">
        <v>8.6956519999999995E-2</v>
      </c>
      <c r="K204" s="26" t="s">
        <v>81</v>
      </c>
      <c r="L204" s="27">
        <v>2.25</v>
      </c>
      <c r="M204" s="28">
        <v>6</v>
      </c>
      <c r="N204" s="27">
        <f>L204*M204</f>
        <v>13.5</v>
      </c>
      <c r="O204" s="27">
        <f>N204/$O$6</f>
        <v>2.3776335002177555</v>
      </c>
      <c r="P204" s="28">
        <v>4</v>
      </c>
      <c r="Q204" s="28">
        <v>20</v>
      </c>
      <c r="R204" s="29">
        <f t="shared" ref="R204:R239" si="26">P204*Q204</f>
        <v>80</v>
      </c>
      <c r="S204" s="30">
        <v>0.23499999999999999</v>
      </c>
      <c r="T204" s="30">
        <v>0</v>
      </c>
      <c r="U204" s="2202">
        <v>919744</v>
      </c>
      <c r="V204" s="2203">
        <v>7.1364381244383348E-3</v>
      </c>
      <c r="W204" s="2204">
        <v>0</v>
      </c>
      <c r="X204" s="2205">
        <v>0</v>
      </c>
      <c r="Y204" s="2204">
        <v>902338</v>
      </c>
      <c r="Z204" s="2205">
        <v>8.8208999999999996E-2</v>
      </c>
      <c r="AA204" s="2204">
        <v>901829</v>
      </c>
      <c r="AB204" s="2205">
        <v>6</v>
      </c>
      <c r="AC204" s="2204">
        <v>940569</v>
      </c>
      <c r="AD204" s="2205">
        <v>6</v>
      </c>
      <c r="AE204" s="2204">
        <v>911423</v>
      </c>
      <c r="AF204" s="2205">
        <v>6</v>
      </c>
      <c r="AG204" s="2206"/>
      <c r="AH204" s="2207"/>
      <c r="AI204" s="2204">
        <v>0</v>
      </c>
      <c r="AJ204" s="2205">
        <v>0</v>
      </c>
      <c r="AK204" s="2208">
        <v>0</v>
      </c>
      <c r="AL204" s="2209">
        <v>0</v>
      </c>
      <c r="AM204" s="2204">
        <v>925698</v>
      </c>
      <c r="AN204" s="2210">
        <v>2.7699999999999999E-2</v>
      </c>
      <c r="AO204" s="2204">
        <v>902311</v>
      </c>
      <c r="AP204" s="2210">
        <v>5.0000000000000001E-3</v>
      </c>
      <c r="AQ204" s="2204">
        <v>933089</v>
      </c>
      <c r="AR204" s="2210">
        <v>3.7499999999999999E-2</v>
      </c>
      <c r="AS204" s="2204">
        <f>IF(K204="P",903360,0)</f>
        <v>903360</v>
      </c>
      <c r="AT204" s="2210">
        <f>1/R204</f>
        <v>1.2500000000000001E-2</v>
      </c>
      <c r="AU204" s="2204">
        <v>0</v>
      </c>
      <c r="AV204" s="2210">
        <v>0</v>
      </c>
      <c r="AW204" s="2204">
        <v>0</v>
      </c>
      <c r="AX204" s="2210">
        <v>0</v>
      </c>
      <c r="AZ204" s="2202"/>
      <c r="BA204" s="2211"/>
      <c r="BD204" s="42"/>
      <c r="BI204" s="22"/>
      <c r="BJ204" s="58"/>
      <c r="BL204" s="22"/>
      <c r="BN204" s="44"/>
      <c r="BP204" s="45"/>
      <c r="BQ204" s="46"/>
      <c r="BZ204">
        <v>919744</v>
      </c>
      <c r="CA204">
        <v>940599</v>
      </c>
      <c r="CB204" t="b">
        <f>+BZ204=CA204</f>
        <v>0</v>
      </c>
    </row>
    <row r="205" spans="1:80" ht="15" customHeight="1" x14ac:dyDescent="0.25">
      <c r="A205" s="22">
        <v>2608</v>
      </c>
      <c r="B205" s="23" t="s">
        <v>452</v>
      </c>
      <c r="C205" s="22" t="s">
        <v>170</v>
      </c>
      <c r="D205" s="23" t="s">
        <v>380</v>
      </c>
      <c r="E205" s="23" t="s">
        <v>380</v>
      </c>
      <c r="F205" s="22" t="s">
        <v>333</v>
      </c>
      <c r="G205" s="22" t="s">
        <v>333</v>
      </c>
      <c r="H205" s="23" t="s">
        <v>384</v>
      </c>
      <c r="I205" s="24" t="s">
        <v>384</v>
      </c>
      <c r="J205" s="2212">
        <v>0</v>
      </c>
      <c r="K205" s="26" t="s">
        <v>81</v>
      </c>
      <c r="L205" s="27">
        <v>0.995</v>
      </c>
      <c r="M205" s="28">
        <v>6</v>
      </c>
      <c r="N205" s="27">
        <f>L205*M205</f>
        <v>5.97</v>
      </c>
      <c r="O205" s="27">
        <f>N205/$O$6</f>
        <v>1.0514423700962963</v>
      </c>
      <c r="P205" s="28">
        <v>5</v>
      </c>
      <c r="Q205" s="28">
        <v>28</v>
      </c>
      <c r="R205" s="29">
        <f t="shared" si="26"/>
        <v>140</v>
      </c>
      <c r="S205" s="30">
        <v>0.22</v>
      </c>
      <c r="T205" s="30">
        <v>0</v>
      </c>
      <c r="U205" s="2213">
        <v>939014</v>
      </c>
      <c r="V205" s="2214">
        <v>2.2864802757564151E-3</v>
      </c>
      <c r="W205" s="2215">
        <v>902332</v>
      </c>
      <c r="X205" s="2216">
        <v>0.51197631635388741</v>
      </c>
      <c r="Y205" s="2215"/>
      <c r="Z205" s="2216">
        <v>0</v>
      </c>
      <c r="AA205" s="2215">
        <v>917993</v>
      </c>
      <c r="AB205" s="2216">
        <v>6</v>
      </c>
      <c r="AC205" s="2215">
        <v>940683</v>
      </c>
      <c r="AD205" s="2216">
        <v>6</v>
      </c>
      <c r="AE205" s="2215">
        <v>929272</v>
      </c>
      <c r="AF205" s="2216">
        <v>6</v>
      </c>
      <c r="AG205" s="2217"/>
      <c r="AH205" s="2218"/>
      <c r="AI205" s="2215">
        <v>0</v>
      </c>
      <c r="AJ205" s="2216">
        <v>0</v>
      </c>
      <c r="AK205" s="2219">
        <v>0</v>
      </c>
      <c r="AL205" s="2220">
        <v>0</v>
      </c>
      <c r="AM205" s="2215">
        <v>922605</v>
      </c>
      <c r="AN205" s="2221">
        <v>0.02</v>
      </c>
      <c r="AO205" s="2215">
        <v>902311</v>
      </c>
      <c r="AP205" s="2222">
        <v>1.4285000000000001E-3</v>
      </c>
      <c r="AQ205" s="2215">
        <v>902302</v>
      </c>
      <c r="AR205" s="2222">
        <v>2.8571428571428571E-2</v>
      </c>
      <c r="AS205" s="2215">
        <v>903360</v>
      </c>
      <c r="AT205" s="2222">
        <f>1/R205</f>
        <v>7.1428571428571426E-3</v>
      </c>
      <c r="AU205" s="2215">
        <v>0</v>
      </c>
      <c r="AV205" s="2222">
        <v>0</v>
      </c>
      <c r="AW205" s="2215">
        <v>0</v>
      </c>
      <c r="AX205" s="2222">
        <v>0</v>
      </c>
      <c r="AZ205" s="2213"/>
      <c r="BA205" s="2223"/>
      <c r="BD205" s="42"/>
      <c r="BI205" s="22"/>
      <c r="BJ205" s="58"/>
      <c r="BL205" s="22"/>
      <c r="BN205" s="44"/>
      <c r="BP205" s="45"/>
      <c r="BQ205" s="46"/>
      <c r="BZ205">
        <v>939014</v>
      </c>
      <c r="CA205">
        <v>939014</v>
      </c>
      <c r="CB205" t="b">
        <f>+BZ205=CA205</f>
        <v>1</v>
      </c>
    </row>
    <row r="206" spans="1:80" ht="15" customHeight="1" x14ac:dyDescent="0.25">
      <c r="A206" s="22">
        <v>3208</v>
      </c>
      <c r="B206" s="23" t="s">
        <v>418</v>
      </c>
      <c r="C206" s="22" t="s">
        <v>170</v>
      </c>
      <c r="D206" s="23" t="s">
        <v>204</v>
      </c>
      <c r="E206" s="23" t="s">
        <v>204</v>
      </c>
      <c r="F206" s="22" t="s">
        <v>358</v>
      </c>
      <c r="G206" s="22" t="s">
        <v>358</v>
      </c>
      <c r="H206" s="23" t="s">
        <v>408</v>
      </c>
      <c r="I206" s="24" t="s">
        <v>408</v>
      </c>
      <c r="J206" s="2224">
        <v>0.1111</v>
      </c>
      <c r="K206" s="26" t="s">
        <v>94</v>
      </c>
      <c r="L206" s="27">
        <v>0.47299999999999998</v>
      </c>
      <c r="M206" s="28">
        <v>6</v>
      </c>
      <c r="N206" s="27">
        <f>L206*M206</f>
        <v>2.8380000000000001</v>
      </c>
      <c r="O206" s="27">
        <f>N206/$O$6</f>
        <v>0.49983139804577709</v>
      </c>
      <c r="P206" s="28">
        <v>9</v>
      </c>
      <c r="Q206" s="28">
        <v>45</v>
      </c>
      <c r="R206" s="29">
        <f t="shared" si="26"/>
        <v>405</v>
      </c>
      <c r="S206" s="30">
        <v>0</v>
      </c>
      <c r="T206" s="30">
        <v>0</v>
      </c>
      <c r="U206" s="2225"/>
      <c r="V206" s="2226"/>
      <c r="W206" s="2227"/>
      <c r="X206" s="2228">
        <v>0</v>
      </c>
      <c r="Y206" s="2227"/>
      <c r="Z206" s="2228">
        <v>0</v>
      </c>
      <c r="AA206" s="2227"/>
      <c r="AB206" s="2228"/>
      <c r="AC206" s="2227">
        <v>0</v>
      </c>
      <c r="AD206" s="2228">
        <v>0</v>
      </c>
      <c r="AE206" s="2227">
        <v>0</v>
      </c>
      <c r="AF206" s="2228">
        <v>0</v>
      </c>
      <c r="AG206" s="2229"/>
      <c r="AH206" s="2230"/>
      <c r="AI206" s="2227">
        <v>0</v>
      </c>
      <c r="AJ206" s="2228">
        <v>0</v>
      </c>
      <c r="AK206" s="2231">
        <v>0</v>
      </c>
      <c r="AL206" s="2232">
        <v>0</v>
      </c>
      <c r="AM206" s="2227">
        <v>0</v>
      </c>
      <c r="AN206" s="2233">
        <v>0</v>
      </c>
      <c r="AO206" s="2227">
        <v>0</v>
      </c>
      <c r="AP206" s="2233">
        <v>0</v>
      </c>
      <c r="AQ206" s="2227">
        <v>0</v>
      </c>
      <c r="AR206" s="2233">
        <v>0</v>
      </c>
      <c r="AS206" s="2227">
        <v>0</v>
      </c>
      <c r="AT206" s="2233">
        <v>0</v>
      </c>
      <c r="AU206" s="2227">
        <v>0</v>
      </c>
      <c r="AV206" s="2233">
        <v>0</v>
      </c>
      <c r="AW206" s="2227">
        <v>0</v>
      </c>
      <c r="AX206" s="2233">
        <v>0</v>
      </c>
      <c r="AZ206" s="2225"/>
      <c r="BA206" s="2234"/>
      <c r="BD206" s="42"/>
      <c r="BI206" s="22"/>
      <c r="BJ206" s="58"/>
      <c r="BL206" s="22"/>
      <c r="BN206" s="44"/>
      <c r="BP206" s="45"/>
      <c r="BQ206" s="46"/>
    </row>
    <row r="207" spans="1:80" ht="15" customHeight="1" x14ac:dyDescent="0.25">
      <c r="A207" s="22">
        <v>3213</v>
      </c>
      <c r="B207" s="23" t="s">
        <v>409</v>
      </c>
      <c r="C207" s="22" t="s">
        <v>170</v>
      </c>
      <c r="D207" s="23" t="s">
        <v>204</v>
      </c>
      <c r="E207" s="23" t="s">
        <v>204</v>
      </c>
      <c r="F207" s="22" t="s">
        <v>358</v>
      </c>
      <c r="G207" s="22" t="s">
        <v>358</v>
      </c>
      <c r="H207" s="23" t="s">
        <v>408</v>
      </c>
      <c r="I207" s="24" t="s">
        <v>408</v>
      </c>
      <c r="J207" s="2235">
        <v>0.1111</v>
      </c>
      <c r="K207" s="26" t="s">
        <v>94</v>
      </c>
      <c r="L207" s="27">
        <v>0.47299999999999998</v>
      </c>
      <c r="M207" s="28">
        <v>6</v>
      </c>
      <c r="N207" s="27">
        <f>L207*M207</f>
        <v>2.8380000000000001</v>
      </c>
      <c r="O207" s="27">
        <f>N207/$O$6</f>
        <v>0.49983139804577709</v>
      </c>
      <c r="P207" s="28">
        <v>9</v>
      </c>
      <c r="Q207" s="28">
        <v>45</v>
      </c>
      <c r="R207" s="29">
        <f t="shared" si="26"/>
        <v>405</v>
      </c>
      <c r="S207" s="30">
        <v>0</v>
      </c>
      <c r="T207" s="30">
        <v>0</v>
      </c>
      <c r="U207" s="2236"/>
      <c r="V207" s="2237"/>
      <c r="W207" s="2238"/>
      <c r="X207" s="2239">
        <v>0</v>
      </c>
      <c r="Y207" s="2238"/>
      <c r="Z207" s="2239">
        <v>0</v>
      </c>
      <c r="AA207" s="2238"/>
      <c r="AB207" s="2239"/>
      <c r="AC207" s="2238">
        <v>0</v>
      </c>
      <c r="AD207" s="2239">
        <v>0</v>
      </c>
      <c r="AE207" s="2238">
        <v>0</v>
      </c>
      <c r="AF207" s="2239">
        <v>0</v>
      </c>
      <c r="AG207" s="2240"/>
      <c r="AH207" s="2241"/>
      <c r="AI207" s="2238">
        <v>0</v>
      </c>
      <c r="AJ207" s="2239">
        <v>0</v>
      </c>
      <c r="AK207" s="2242">
        <v>0</v>
      </c>
      <c r="AL207" s="2243">
        <v>0</v>
      </c>
      <c r="AM207" s="2238">
        <v>0</v>
      </c>
      <c r="AN207" s="2244">
        <v>0</v>
      </c>
      <c r="AO207" s="2238">
        <v>0</v>
      </c>
      <c r="AP207" s="2244">
        <v>0</v>
      </c>
      <c r="AQ207" s="2238">
        <v>0</v>
      </c>
      <c r="AR207" s="2244">
        <v>0</v>
      </c>
      <c r="AS207" s="2238">
        <v>0</v>
      </c>
      <c r="AT207" s="2244">
        <v>0</v>
      </c>
      <c r="AU207" s="2238">
        <v>0</v>
      </c>
      <c r="AV207" s="2244">
        <v>0</v>
      </c>
      <c r="AW207" s="2238">
        <v>0</v>
      </c>
      <c r="AX207" s="2244">
        <v>0</v>
      </c>
      <c r="AZ207" s="2236"/>
      <c r="BA207" s="2245"/>
      <c r="BD207" s="42"/>
      <c r="BI207" s="22"/>
      <c r="BJ207" s="58"/>
      <c r="BL207" s="22"/>
      <c r="BN207" s="44"/>
      <c r="BP207" s="45"/>
      <c r="BQ207" s="46"/>
    </row>
    <row r="208" spans="1:80" ht="15" customHeight="1" x14ac:dyDescent="0.25">
      <c r="A208" s="22">
        <v>510101</v>
      </c>
      <c r="B208" s="23" t="s">
        <v>453</v>
      </c>
      <c r="C208" s="22" t="s">
        <v>454</v>
      </c>
      <c r="D208" s="23" t="s">
        <v>455</v>
      </c>
      <c r="E208" s="23" t="s">
        <v>455</v>
      </c>
      <c r="F208" s="22"/>
      <c r="G208" s="22"/>
      <c r="H208" s="23"/>
      <c r="I208" s="24"/>
      <c r="J208" s="2246"/>
      <c r="K208" s="26" t="s">
        <v>456</v>
      </c>
      <c r="L208" s="27">
        <v>0.71</v>
      </c>
      <c r="M208" s="28">
        <v>6</v>
      </c>
      <c r="N208" s="27">
        <f>L208*M208</f>
        <v>4.26</v>
      </c>
      <c r="O208" s="27">
        <f>N208/$O$6</f>
        <v>0.75027546006871393</v>
      </c>
      <c r="P208" s="28">
        <v>5</v>
      </c>
      <c r="Q208" s="28">
        <v>28</v>
      </c>
      <c r="R208" s="29">
        <f t="shared" si="26"/>
        <v>140</v>
      </c>
      <c r="S208" s="30"/>
      <c r="T208" s="30"/>
      <c r="U208" s="2247"/>
      <c r="V208" s="2248"/>
      <c r="W208" s="2249"/>
      <c r="X208" s="2250">
        <v>0</v>
      </c>
      <c r="Y208" s="2249"/>
      <c r="Z208" s="2250">
        <v>0</v>
      </c>
      <c r="AA208" s="2249"/>
      <c r="AB208" s="2250"/>
      <c r="AC208" s="2249">
        <v>0</v>
      </c>
      <c r="AD208" s="2250">
        <v>0</v>
      </c>
      <c r="AE208" s="2249">
        <v>0</v>
      </c>
      <c r="AF208" s="2250">
        <v>0</v>
      </c>
      <c r="AG208" s="2251"/>
      <c r="AH208" s="2252"/>
      <c r="AI208" s="2249">
        <v>0</v>
      </c>
      <c r="AJ208" s="2250">
        <v>0</v>
      </c>
      <c r="AK208" s="2253">
        <v>0</v>
      </c>
      <c r="AL208" s="2254">
        <v>0</v>
      </c>
      <c r="AM208" s="2249">
        <v>0</v>
      </c>
      <c r="AN208" s="2255">
        <v>0</v>
      </c>
      <c r="AO208" s="2249">
        <v>0</v>
      </c>
      <c r="AP208" s="2255">
        <v>0</v>
      </c>
      <c r="AQ208" s="2249">
        <v>0</v>
      </c>
      <c r="AR208" s="2255">
        <v>0</v>
      </c>
      <c r="AS208" s="2249">
        <v>0</v>
      </c>
      <c r="AT208" s="2255">
        <v>0</v>
      </c>
      <c r="AU208" s="2249">
        <v>0</v>
      </c>
      <c r="AV208" s="2255">
        <v>0</v>
      </c>
      <c r="AW208" s="2249">
        <v>0</v>
      </c>
      <c r="AX208" s="2255">
        <v>0</v>
      </c>
      <c r="AZ208" s="2247"/>
      <c r="BA208" s="2256"/>
      <c r="BD208" s="42"/>
      <c r="BI208" s="22"/>
      <c r="BJ208" s="58"/>
      <c r="BL208" s="22"/>
      <c r="BN208" s="44"/>
      <c r="BP208" s="45"/>
      <c r="BQ208" s="46"/>
    </row>
    <row r="209" spans="1:69" ht="15" customHeight="1" x14ac:dyDescent="0.25">
      <c r="A209" s="22">
        <v>510103</v>
      </c>
      <c r="B209" s="23" t="s">
        <v>457</v>
      </c>
      <c r="C209" s="22" t="s">
        <v>454</v>
      </c>
      <c r="D209" s="23" t="s">
        <v>455</v>
      </c>
      <c r="E209" s="23" t="s">
        <v>455</v>
      </c>
      <c r="F209" s="22"/>
      <c r="G209" s="22"/>
      <c r="H209" s="23"/>
      <c r="I209" s="24"/>
      <c r="J209" s="2257"/>
      <c r="K209" s="26" t="s">
        <v>456</v>
      </c>
      <c r="L209" s="27">
        <v>0.71</v>
      </c>
      <c r="M209" s="28">
        <v>6</v>
      </c>
      <c r="N209" s="27">
        <f t="shared" ref="N209:N246" si="27">L209*M209</f>
        <v>4.26</v>
      </c>
      <c r="O209" s="27">
        <f t="shared" ref="O209:O246" si="28">N209/$O$6</f>
        <v>0.75027546006871393</v>
      </c>
      <c r="P209" s="28">
        <v>5</v>
      </c>
      <c r="Q209" s="28">
        <v>28</v>
      </c>
      <c r="R209" s="29">
        <f t="shared" si="26"/>
        <v>140</v>
      </c>
      <c r="S209" s="30"/>
      <c r="T209" s="30"/>
      <c r="U209" s="2258"/>
      <c r="V209" s="2259"/>
      <c r="W209" s="2260"/>
      <c r="X209" s="2261">
        <v>0</v>
      </c>
      <c r="Y209" s="2260"/>
      <c r="Z209" s="2261">
        <v>0</v>
      </c>
      <c r="AA209" s="2260"/>
      <c r="AB209" s="2261"/>
      <c r="AC209" s="2260">
        <v>0</v>
      </c>
      <c r="AD209" s="2261">
        <v>0</v>
      </c>
      <c r="AE209" s="2260">
        <v>0</v>
      </c>
      <c r="AF209" s="2261">
        <v>0</v>
      </c>
      <c r="AG209" s="2262"/>
      <c r="AH209" s="2263"/>
      <c r="AI209" s="2260">
        <v>0</v>
      </c>
      <c r="AJ209" s="2261">
        <v>0</v>
      </c>
      <c r="AK209" s="2264">
        <v>0</v>
      </c>
      <c r="AL209" s="2265">
        <v>0</v>
      </c>
      <c r="AM209" s="2260">
        <v>0</v>
      </c>
      <c r="AN209" s="2266">
        <v>0</v>
      </c>
      <c r="AO209" s="2260">
        <v>0</v>
      </c>
      <c r="AP209" s="2266">
        <v>0</v>
      </c>
      <c r="AQ209" s="2260">
        <v>0</v>
      </c>
      <c r="AR209" s="2266">
        <v>0</v>
      </c>
      <c r="AS209" s="2260">
        <v>0</v>
      </c>
      <c r="AT209" s="2266">
        <v>0</v>
      </c>
      <c r="AU209" s="2260">
        <v>0</v>
      </c>
      <c r="AV209" s="2266">
        <v>0</v>
      </c>
      <c r="AW209" s="2260">
        <v>0</v>
      </c>
      <c r="AX209" s="2266">
        <v>0</v>
      </c>
      <c r="AZ209" s="2258"/>
      <c r="BA209" s="2267"/>
      <c r="BD209" s="42"/>
      <c r="BI209" s="22"/>
      <c r="BJ209" s="58"/>
      <c r="BL209" s="22"/>
      <c r="BN209" s="44"/>
      <c r="BP209" s="45"/>
      <c r="BQ209" s="46"/>
    </row>
    <row r="210" spans="1:69" ht="15" customHeight="1" x14ac:dyDescent="0.25">
      <c r="A210" s="22">
        <v>510106</v>
      </c>
      <c r="B210" s="23" t="s">
        <v>458</v>
      </c>
      <c r="C210" s="22" t="s">
        <v>454</v>
      </c>
      <c r="D210" s="23" t="s">
        <v>455</v>
      </c>
      <c r="E210" s="23" t="s">
        <v>455</v>
      </c>
      <c r="F210" s="22"/>
      <c r="G210" s="22"/>
      <c r="H210" s="23"/>
      <c r="I210" s="24"/>
      <c r="J210" s="2268"/>
      <c r="K210" s="26" t="s">
        <v>456</v>
      </c>
      <c r="L210" s="27">
        <v>0.71</v>
      </c>
      <c r="M210" s="28">
        <v>6</v>
      </c>
      <c r="N210" s="27">
        <f t="shared" si="27"/>
        <v>4.26</v>
      </c>
      <c r="O210" s="27">
        <f t="shared" si="28"/>
        <v>0.75027546006871393</v>
      </c>
      <c r="P210" s="28">
        <v>5</v>
      </c>
      <c r="Q210" s="28">
        <v>28</v>
      </c>
      <c r="R210" s="29">
        <f t="shared" si="26"/>
        <v>140</v>
      </c>
      <c r="S210" s="30"/>
      <c r="T210" s="30"/>
      <c r="U210" s="2269"/>
      <c r="V210" s="2270"/>
      <c r="W210" s="2271"/>
      <c r="X210" s="2272">
        <v>0</v>
      </c>
      <c r="Y210" s="2271"/>
      <c r="Z210" s="2272">
        <v>0</v>
      </c>
      <c r="AA210" s="2271"/>
      <c r="AB210" s="2272"/>
      <c r="AC210" s="2271">
        <v>0</v>
      </c>
      <c r="AD210" s="2272">
        <v>0</v>
      </c>
      <c r="AE210" s="2271">
        <v>0</v>
      </c>
      <c r="AF210" s="2272">
        <v>0</v>
      </c>
      <c r="AG210" s="2273"/>
      <c r="AH210" s="2274"/>
      <c r="AI210" s="2271">
        <v>0</v>
      </c>
      <c r="AJ210" s="2272">
        <v>0</v>
      </c>
      <c r="AK210" s="2275">
        <v>0</v>
      </c>
      <c r="AL210" s="2276">
        <v>0</v>
      </c>
      <c r="AM210" s="2271">
        <v>0</v>
      </c>
      <c r="AN210" s="2277">
        <v>0</v>
      </c>
      <c r="AO210" s="2271">
        <v>0</v>
      </c>
      <c r="AP210" s="2277">
        <v>0</v>
      </c>
      <c r="AQ210" s="2271">
        <v>0</v>
      </c>
      <c r="AR210" s="2277">
        <v>0</v>
      </c>
      <c r="AS210" s="2271">
        <v>0</v>
      </c>
      <c r="AT210" s="2277">
        <v>0</v>
      </c>
      <c r="AU210" s="2271">
        <v>0</v>
      </c>
      <c r="AV210" s="2277">
        <v>0</v>
      </c>
      <c r="AW210" s="2271">
        <v>0</v>
      </c>
      <c r="AX210" s="2277">
        <v>0</v>
      </c>
      <c r="AZ210" s="2269"/>
      <c r="BA210" s="2278"/>
      <c r="BD210" s="42"/>
      <c r="BI210" s="22"/>
      <c r="BJ210" s="58"/>
      <c r="BL210" s="22"/>
      <c r="BN210" s="44"/>
      <c r="BP210" s="45"/>
      <c r="BQ210" s="46"/>
    </row>
    <row r="211" spans="1:69" ht="15" customHeight="1" x14ac:dyDescent="0.25">
      <c r="A211" s="22">
        <v>510701</v>
      </c>
      <c r="B211" s="23" t="s">
        <v>459</v>
      </c>
      <c r="C211" s="22" t="s">
        <v>454</v>
      </c>
      <c r="D211" s="23" t="s">
        <v>455</v>
      </c>
      <c r="E211" s="23" t="s">
        <v>455</v>
      </c>
      <c r="F211" s="22"/>
      <c r="G211" s="22"/>
      <c r="H211" s="23"/>
      <c r="I211" s="24"/>
      <c r="J211" s="2279"/>
      <c r="K211" s="26" t="s">
        <v>456</v>
      </c>
      <c r="L211" s="27">
        <v>0.47299999999999998</v>
      </c>
      <c r="M211" s="28">
        <v>6</v>
      </c>
      <c r="N211" s="27">
        <f t="shared" si="27"/>
        <v>2.8380000000000001</v>
      </c>
      <c r="O211" s="27">
        <f t="shared" si="28"/>
        <v>0.49983139804577709</v>
      </c>
      <c r="P211" s="28">
        <v>9</v>
      </c>
      <c r="Q211" s="28">
        <v>40</v>
      </c>
      <c r="R211" s="29">
        <f t="shared" si="26"/>
        <v>360</v>
      </c>
      <c r="S211" s="30"/>
      <c r="T211" s="30"/>
      <c r="U211" s="2280"/>
      <c r="V211" s="2281"/>
      <c r="W211" s="2282"/>
      <c r="X211" s="2283">
        <v>0</v>
      </c>
      <c r="Y211" s="2282"/>
      <c r="Z211" s="2283">
        <v>0</v>
      </c>
      <c r="AA211" s="2282"/>
      <c r="AB211" s="2283"/>
      <c r="AC211" s="2282">
        <v>0</v>
      </c>
      <c r="AD211" s="2283">
        <v>0</v>
      </c>
      <c r="AE211" s="2282">
        <v>0</v>
      </c>
      <c r="AF211" s="2283">
        <v>0</v>
      </c>
      <c r="AG211" s="2284"/>
      <c r="AH211" s="2285"/>
      <c r="AI211" s="2282">
        <v>0</v>
      </c>
      <c r="AJ211" s="2283">
        <v>0</v>
      </c>
      <c r="AK211" s="2286">
        <v>0</v>
      </c>
      <c r="AL211" s="2287">
        <v>0</v>
      </c>
      <c r="AM211" s="2282">
        <v>0</v>
      </c>
      <c r="AN211" s="2288">
        <v>0</v>
      </c>
      <c r="AO211" s="2282">
        <v>0</v>
      </c>
      <c r="AP211" s="2288">
        <v>0</v>
      </c>
      <c r="AQ211" s="2282">
        <v>0</v>
      </c>
      <c r="AR211" s="2288">
        <v>0</v>
      </c>
      <c r="AS211" s="2282">
        <v>0</v>
      </c>
      <c r="AT211" s="2288">
        <v>0</v>
      </c>
      <c r="AU211" s="2282">
        <v>0</v>
      </c>
      <c r="AV211" s="2288">
        <v>0</v>
      </c>
      <c r="AW211" s="2282">
        <v>0</v>
      </c>
      <c r="AX211" s="2288">
        <v>0</v>
      </c>
      <c r="AZ211" s="2280"/>
      <c r="BA211" s="2289"/>
      <c r="BD211" s="42"/>
      <c r="BI211" s="22"/>
      <c r="BJ211" s="58"/>
      <c r="BL211" s="22"/>
      <c r="BN211" s="44"/>
      <c r="BP211" s="45"/>
      <c r="BQ211" s="46"/>
    </row>
    <row r="212" spans="1:69" ht="15" customHeight="1" x14ac:dyDescent="0.25">
      <c r="A212" s="22">
        <v>510702</v>
      </c>
      <c r="B212" s="23" t="s">
        <v>460</v>
      </c>
      <c r="C212" s="22" t="s">
        <v>454</v>
      </c>
      <c r="D212" s="23" t="s">
        <v>455</v>
      </c>
      <c r="E212" s="23" t="s">
        <v>455</v>
      </c>
      <c r="F212" s="22"/>
      <c r="G212" s="22"/>
      <c r="H212" s="23"/>
      <c r="I212" s="24"/>
      <c r="J212" s="2290"/>
      <c r="K212" s="26" t="s">
        <v>456</v>
      </c>
      <c r="L212" s="27">
        <v>0.47299999999999998</v>
      </c>
      <c r="M212" s="28">
        <v>6</v>
      </c>
      <c r="N212" s="27">
        <f t="shared" si="27"/>
        <v>2.8380000000000001</v>
      </c>
      <c r="O212" s="27">
        <f t="shared" si="28"/>
        <v>0.49983139804577709</v>
      </c>
      <c r="P212" s="28">
        <v>9</v>
      </c>
      <c r="Q212" s="28">
        <v>40</v>
      </c>
      <c r="R212" s="29">
        <f t="shared" si="26"/>
        <v>360</v>
      </c>
      <c r="S212" s="30"/>
      <c r="T212" s="30"/>
      <c r="U212" s="2291"/>
      <c r="V212" s="2292"/>
      <c r="W212" s="2293"/>
      <c r="X212" s="2294">
        <v>0</v>
      </c>
      <c r="Y212" s="2293"/>
      <c r="Z212" s="2294">
        <v>0</v>
      </c>
      <c r="AA212" s="2293"/>
      <c r="AB212" s="2294"/>
      <c r="AC212" s="2293">
        <v>0</v>
      </c>
      <c r="AD212" s="2294">
        <v>0</v>
      </c>
      <c r="AE212" s="2293">
        <v>0</v>
      </c>
      <c r="AF212" s="2294">
        <v>0</v>
      </c>
      <c r="AG212" s="2295"/>
      <c r="AH212" s="2296"/>
      <c r="AI212" s="2293">
        <v>0</v>
      </c>
      <c r="AJ212" s="2294">
        <v>0</v>
      </c>
      <c r="AK212" s="2297">
        <v>0</v>
      </c>
      <c r="AL212" s="2298">
        <v>0</v>
      </c>
      <c r="AM212" s="2293">
        <v>0</v>
      </c>
      <c r="AN212" s="2299">
        <v>0</v>
      </c>
      <c r="AO212" s="2293">
        <v>0</v>
      </c>
      <c r="AP212" s="2299">
        <v>0</v>
      </c>
      <c r="AQ212" s="2293">
        <v>0</v>
      </c>
      <c r="AR212" s="2299">
        <v>0</v>
      </c>
      <c r="AS212" s="2293">
        <v>0</v>
      </c>
      <c r="AT212" s="2299">
        <v>0</v>
      </c>
      <c r="AU212" s="2293">
        <v>0</v>
      </c>
      <c r="AV212" s="2299">
        <v>0</v>
      </c>
      <c r="AW212" s="2293">
        <v>0</v>
      </c>
      <c r="AX212" s="2299">
        <v>0</v>
      </c>
      <c r="AZ212" s="2291"/>
      <c r="BA212" s="2300"/>
      <c r="BD212" s="42"/>
      <c r="BI212" s="22"/>
      <c r="BJ212" s="58"/>
      <c r="BL212" s="22"/>
      <c r="BN212" s="44"/>
      <c r="BP212" s="45"/>
      <c r="BQ212" s="46"/>
    </row>
    <row r="213" spans="1:69" ht="15" customHeight="1" x14ac:dyDescent="0.25">
      <c r="A213" s="22">
        <v>510703</v>
      </c>
      <c r="B213" s="23" t="s">
        <v>461</v>
      </c>
      <c r="C213" s="22" t="s">
        <v>454</v>
      </c>
      <c r="D213" s="23" t="s">
        <v>455</v>
      </c>
      <c r="E213" s="23" t="s">
        <v>455</v>
      </c>
      <c r="F213" s="22"/>
      <c r="G213" s="22"/>
      <c r="H213" s="23"/>
      <c r="I213" s="24"/>
      <c r="J213" s="2301"/>
      <c r="K213" s="26" t="s">
        <v>456</v>
      </c>
      <c r="L213" s="27">
        <v>0.47299999999999998</v>
      </c>
      <c r="M213" s="28">
        <v>6</v>
      </c>
      <c r="N213" s="27">
        <f t="shared" si="27"/>
        <v>2.8380000000000001</v>
      </c>
      <c r="O213" s="27">
        <f t="shared" si="28"/>
        <v>0.49983139804577709</v>
      </c>
      <c r="P213" s="28">
        <v>9</v>
      </c>
      <c r="Q213" s="28">
        <v>40</v>
      </c>
      <c r="R213" s="29">
        <f t="shared" si="26"/>
        <v>360</v>
      </c>
      <c r="S213" s="30"/>
      <c r="T213" s="30"/>
      <c r="U213" s="2302"/>
      <c r="V213" s="2303"/>
      <c r="W213" s="2304"/>
      <c r="X213" s="2305">
        <v>0</v>
      </c>
      <c r="Y213" s="2304"/>
      <c r="Z213" s="2305">
        <v>0</v>
      </c>
      <c r="AA213" s="2304"/>
      <c r="AB213" s="2305"/>
      <c r="AC213" s="2304">
        <v>0</v>
      </c>
      <c r="AD213" s="2305">
        <v>0</v>
      </c>
      <c r="AE213" s="2304">
        <v>0</v>
      </c>
      <c r="AF213" s="2305">
        <v>0</v>
      </c>
      <c r="AG213" s="2306"/>
      <c r="AH213" s="2307"/>
      <c r="AI213" s="2304">
        <v>0</v>
      </c>
      <c r="AJ213" s="2305">
        <v>0</v>
      </c>
      <c r="AK213" s="2308">
        <v>0</v>
      </c>
      <c r="AL213" s="2309">
        <v>0</v>
      </c>
      <c r="AM213" s="2304">
        <v>0</v>
      </c>
      <c r="AN213" s="2310">
        <v>0</v>
      </c>
      <c r="AO213" s="2304">
        <v>0</v>
      </c>
      <c r="AP213" s="2310">
        <v>0</v>
      </c>
      <c r="AQ213" s="2304">
        <v>0</v>
      </c>
      <c r="AR213" s="2310">
        <v>0</v>
      </c>
      <c r="AS213" s="2304">
        <v>0</v>
      </c>
      <c r="AT213" s="2310">
        <v>0</v>
      </c>
      <c r="AU213" s="2304">
        <v>0</v>
      </c>
      <c r="AV213" s="2310">
        <v>0</v>
      </c>
      <c r="AW213" s="2304">
        <v>0</v>
      </c>
      <c r="AX213" s="2310">
        <v>0</v>
      </c>
      <c r="AZ213" s="2302"/>
      <c r="BA213" s="2311"/>
      <c r="BD213" s="42"/>
      <c r="BI213" s="22"/>
      <c r="BJ213" s="58"/>
      <c r="BL213" s="22"/>
      <c r="BN213" s="44"/>
      <c r="BP213" s="45"/>
      <c r="BQ213" s="46"/>
    </row>
    <row r="214" spans="1:69" ht="15" customHeight="1" x14ac:dyDescent="0.25">
      <c r="A214" s="22">
        <v>510706</v>
      </c>
      <c r="B214" s="23" t="s">
        <v>462</v>
      </c>
      <c r="C214" s="22" t="s">
        <v>454</v>
      </c>
      <c r="D214" s="23" t="s">
        <v>455</v>
      </c>
      <c r="E214" s="23" t="s">
        <v>455</v>
      </c>
      <c r="F214" s="22"/>
      <c r="G214" s="22"/>
      <c r="H214" s="23"/>
      <c r="I214" s="24"/>
      <c r="J214" s="2312"/>
      <c r="K214" s="26" t="s">
        <v>456</v>
      </c>
      <c r="L214" s="27">
        <v>0.47299999999999998</v>
      </c>
      <c r="M214" s="28">
        <v>6</v>
      </c>
      <c r="N214" s="27">
        <f t="shared" si="27"/>
        <v>2.8380000000000001</v>
      </c>
      <c r="O214" s="27">
        <f t="shared" si="28"/>
        <v>0.49983139804577709</v>
      </c>
      <c r="P214" s="28">
        <v>9</v>
      </c>
      <c r="Q214" s="28">
        <v>40</v>
      </c>
      <c r="R214" s="29">
        <f t="shared" si="26"/>
        <v>360</v>
      </c>
      <c r="S214" s="30"/>
      <c r="T214" s="30"/>
      <c r="U214" s="2313"/>
      <c r="V214" s="2314"/>
      <c r="W214" s="2315"/>
      <c r="X214" s="2316">
        <v>0</v>
      </c>
      <c r="Y214" s="2315"/>
      <c r="Z214" s="2316">
        <v>0</v>
      </c>
      <c r="AA214" s="2315"/>
      <c r="AB214" s="2316"/>
      <c r="AC214" s="2315">
        <v>0</v>
      </c>
      <c r="AD214" s="2316">
        <v>0</v>
      </c>
      <c r="AE214" s="2315">
        <v>0</v>
      </c>
      <c r="AF214" s="2316">
        <v>0</v>
      </c>
      <c r="AG214" s="2317"/>
      <c r="AH214" s="2318"/>
      <c r="AI214" s="2315">
        <v>0</v>
      </c>
      <c r="AJ214" s="2316">
        <v>0</v>
      </c>
      <c r="AK214" s="2319">
        <v>0</v>
      </c>
      <c r="AL214" s="2320">
        <v>0</v>
      </c>
      <c r="AM214" s="2315">
        <v>0</v>
      </c>
      <c r="AN214" s="2321">
        <v>0</v>
      </c>
      <c r="AO214" s="2315">
        <v>0</v>
      </c>
      <c r="AP214" s="2321">
        <v>0</v>
      </c>
      <c r="AQ214" s="2315">
        <v>0</v>
      </c>
      <c r="AR214" s="2321">
        <v>0</v>
      </c>
      <c r="AS214" s="2315">
        <v>0</v>
      </c>
      <c r="AT214" s="2321">
        <v>0</v>
      </c>
      <c r="AU214" s="2315">
        <v>0</v>
      </c>
      <c r="AV214" s="2321">
        <v>0</v>
      </c>
      <c r="AW214" s="2315">
        <v>0</v>
      </c>
      <c r="AX214" s="2321">
        <v>0</v>
      </c>
      <c r="AZ214" s="2313"/>
      <c r="BA214" s="2322"/>
      <c r="BD214" s="42"/>
      <c r="BI214" s="22"/>
      <c r="BJ214" s="58"/>
      <c r="BL214" s="22"/>
      <c r="BN214" s="44"/>
      <c r="BP214" s="45"/>
      <c r="BQ214" s="46"/>
    </row>
    <row r="215" spans="1:69" ht="15" customHeight="1" x14ac:dyDescent="0.25">
      <c r="A215" s="22">
        <v>510712</v>
      </c>
      <c r="B215" s="23" t="s">
        <v>463</v>
      </c>
      <c r="C215" s="22" t="s">
        <v>454</v>
      </c>
      <c r="D215" s="23" t="s">
        <v>455</v>
      </c>
      <c r="E215" s="23" t="s">
        <v>455</v>
      </c>
      <c r="F215" s="22"/>
      <c r="G215" s="22"/>
      <c r="H215" s="23"/>
      <c r="I215" s="24"/>
      <c r="J215" s="2323"/>
      <c r="K215" s="26" t="s">
        <v>456</v>
      </c>
      <c r="L215" s="27">
        <v>0.47299999999999998</v>
      </c>
      <c r="M215" s="28">
        <v>6</v>
      </c>
      <c r="N215" s="27">
        <f t="shared" si="27"/>
        <v>2.8380000000000001</v>
      </c>
      <c r="O215" s="27">
        <f t="shared" si="28"/>
        <v>0.49983139804577709</v>
      </c>
      <c r="P215" s="28">
        <v>9</v>
      </c>
      <c r="Q215" s="28">
        <v>40</v>
      </c>
      <c r="R215" s="29">
        <f t="shared" si="26"/>
        <v>360</v>
      </c>
      <c r="S215" s="30"/>
      <c r="T215" s="30"/>
      <c r="U215" s="2324"/>
      <c r="V215" s="2325"/>
      <c r="W215" s="2326"/>
      <c r="X215" s="2327">
        <v>0</v>
      </c>
      <c r="Y215" s="2326"/>
      <c r="Z215" s="2327">
        <v>0</v>
      </c>
      <c r="AA215" s="2326"/>
      <c r="AB215" s="2327"/>
      <c r="AC215" s="2326">
        <v>0</v>
      </c>
      <c r="AD215" s="2327">
        <v>0</v>
      </c>
      <c r="AE215" s="2326">
        <v>0</v>
      </c>
      <c r="AF215" s="2327">
        <v>0</v>
      </c>
      <c r="AG215" s="2328"/>
      <c r="AH215" s="2329"/>
      <c r="AI215" s="2326">
        <v>0</v>
      </c>
      <c r="AJ215" s="2327">
        <v>0</v>
      </c>
      <c r="AK215" s="2330">
        <v>0</v>
      </c>
      <c r="AL215" s="2331">
        <v>0</v>
      </c>
      <c r="AM215" s="2326">
        <v>0</v>
      </c>
      <c r="AN215" s="2332">
        <v>0</v>
      </c>
      <c r="AO215" s="2326">
        <v>0</v>
      </c>
      <c r="AP215" s="2332">
        <v>0</v>
      </c>
      <c r="AQ215" s="2326">
        <v>0</v>
      </c>
      <c r="AR215" s="2332">
        <v>0</v>
      </c>
      <c r="AS215" s="2326">
        <v>0</v>
      </c>
      <c r="AT215" s="2332">
        <v>0</v>
      </c>
      <c r="AU215" s="2326">
        <v>0</v>
      </c>
      <c r="AV215" s="2332">
        <v>0</v>
      </c>
      <c r="AW215" s="2326">
        <v>0</v>
      </c>
      <c r="AX215" s="2332">
        <v>0</v>
      </c>
      <c r="AZ215" s="2324"/>
      <c r="BA215" s="2333"/>
      <c r="BD215" s="42"/>
      <c r="BI215" s="22"/>
      <c r="BJ215" s="58"/>
      <c r="BL215" s="22"/>
      <c r="BN215" s="44"/>
      <c r="BP215" s="45"/>
      <c r="BQ215" s="46"/>
    </row>
    <row r="216" spans="1:69" ht="15" customHeight="1" x14ac:dyDescent="0.25">
      <c r="A216" s="22">
        <v>510724</v>
      </c>
      <c r="B216" s="23" t="s">
        <v>464</v>
      </c>
      <c r="C216" s="22" t="s">
        <v>454</v>
      </c>
      <c r="D216" s="23" t="s">
        <v>465</v>
      </c>
      <c r="E216" s="23" t="s">
        <v>465</v>
      </c>
      <c r="F216" s="22"/>
      <c r="G216" s="22"/>
      <c r="H216" s="23"/>
      <c r="I216" s="24"/>
      <c r="J216" s="2334"/>
      <c r="K216" s="26" t="s">
        <v>456</v>
      </c>
      <c r="L216" s="27">
        <v>0.47299999999999998</v>
      </c>
      <c r="M216" s="28">
        <v>6</v>
      </c>
      <c r="N216" s="27">
        <f t="shared" si="27"/>
        <v>2.8380000000000001</v>
      </c>
      <c r="O216" s="27">
        <f t="shared" si="28"/>
        <v>0.49983139804577709</v>
      </c>
      <c r="P216" s="28">
        <v>9</v>
      </c>
      <c r="Q216" s="28">
        <v>40</v>
      </c>
      <c r="R216" s="29">
        <f t="shared" si="26"/>
        <v>360</v>
      </c>
      <c r="S216" s="30"/>
      <c r="T216" s="30"/>
      <c r="U216" s="2335"/>
      <c r="V216" s="2336"/>
      <c r="W216" s="2337"/>
      <c r="X216" s="2338">
        <v>0</v>
      </c>
      <c r="Y216" s="2337"/>
      <c r="Z216" s="2338">
        <v>0</v>
      </c>
      <c r="AA216" s="2337"/>
      <c r="AB216" s="2338"/>
      <c r="AC216" s="2337">
        <v>0</v>
      </c>
      <c r="AD216" s="2338">
        <v>0</v>
      </c>
      <c r="AE216" s="2337">
        <v>0</v>
      </c>
      <c r="AF216" s="2338">
        <v>0</v>
      </c>
      <c r="AG216" s="2339"/>
      <c r="AH216" s="2340"/>
      <c r="AI216" s="2337">
        <v>0</v>
      </c>
      <c r="AJ216" s="2338">
        <v>0</v>
      </c>
      <c r="AK216" s="2341">
        <v>0</v>
      </c>
      <c r="AL216" s="2342">
        <v>0</v>
      </c>
      <c r="AM216" s="2337">
        <v>0</v>
      </c>
      <c r="AN216" s="2343">
        <v>0</v>
      </c>
      <c r="AO216" s="2337">
        <v>0</v>
      </c>
      <c r="AP216" s="2343">
        <v>0</v>
      </c>
      <c r="AQ216" s="2337">
        <v>0</v>
      </c>
      <c r="AR216" s="2343">
        <v>0</v>
      </c>
      <c r="AS216" s="2337">
        <v>0</v>
      </c>
      <c r="AT216" s="2343">
        <v>0</v>
      </c>
      <c r="AU216" s="2337">
        <v>0</v>
      </c>
      <c r="AV216" s="2343">
        <v>0</v>
      </c>
      <c r="AW216" s="2337">
        <v>0</v>
      </c>
      <c r="AX216" s="2343">
        <v>0</v>
      </c>
      <c r="AZ216" s="2335"/>
      <c r="BA216" s="2344"/>
      <c r="BD216" s="42"/>
      <c r="BI216" s="22"/>
      <c r="BJ216" s="58"/>
      <c r="BL216" s="22"/>
      <c r="BN216" s="44"/>
      <c r="BP216" s="45"/>
      <c r="BQ216" s="46"/>
    </row>
    <row r="217" spans="1:69" ht="15" customHeight="1" x14ac:dyDescent="0.25">
      <c r="A217" s="22">
        <v>511112</v>
      </c>
      <c r="B217" s="23" t="s">
        <v>466</v>
      </c>
      <c r="C217" s="22" t="s">
        <v>454</v>
      </c>
      <c r="D217" s="23" t="s">
        <v>455</v>
      </c>
      <c r="E217" s="23" t="s">
        <v>455</v>
      </c>
      <c r="F217" s="22"/>
      <c r="G217" s="22"/>
      <c r="H217" s="23"/>
      <c r="I217" s="24"/>
      <c r="J217" s="2345"/>
      <c r="K217" s="26" t="s">
        <v>456</v>
      </c>
      <c r="L217" s="27">
        <v>0.71</v>
      </c>
      <c r="M217" s="28">
        <v>6</v>
      </c>
      <c r="N217" s="27">
        <f t="shared" si="27"/>
        <v>4.26</v>
      </c>
      <c r="O217" s="27">
        <f t="shared" si="28"/>
        <v>0.75027546006871393</v>
      </c>
      <c r="P217" s="28">
        <v>5</v>
      </c>
      <c r="Q217" s="28">
        <v>28</v>
      </c>
      <c r="R217" s="29">
        <f t="shared" si="26"/>
        <v>140</v>
      </c>
      <c r="S217" s="30"/>
      <c r="T217" s="30"/>
      <c r="U217" s="2346"/>
      <c r="V217" s="2347"/>
      <c r="W217" s="2348"/>
      <c r="X217" s="2349">
        <v>0</v>
      </c>
      <c r="Y217" s="2348"/>
      <c r="Z217" s="2349">
        <v>0</v>
      </c>
      <c r="AA217" s="2348"/>
      <c r="AB217" s="2349"/>
      <c r="AC217" s="2348">
        <v>0</v>
      </c>
      <c r="AD217" s="2349">
        <v>0</v>
      </c>
      <c r="AE217" s="2348">
        <v>0</v>
      </c>
      <c r="AF217" s="2349">
        <v>0</v>
      </c>
      <c r="AG217" s="2350"/>
      <c r="AH217" s="2351"/>
      <c r="AI217" s="2348">
        <v>0</v>
      </c>
      <c r="AJ217" s="2349">
        <v>0</v>
      </c>
      <c r="AK217" s="2352">
        <v>0</v>
      </c>
      <c r="AL217" s="2353">
        <v>0</v>
      </c>
      <c r="AM217" s="2348">
        <v>0</v>
      </c>
      <c r="AN217" s="2354">
        <v>0</v>
      </c>
      <c r="AO217" s="2348">
        <v>0</v>
      </c>
      <c r="AP217" s="2354">
        <v>0</v>
      </c>
      <c r="AQ217" s="2348">
        <v>0</v>
      </c>
      <c r="AR217" s="2354">
        <v>0</v>
      </c>
      <c r="AS217" s="2348">
        <v>0</v>
      </c>
      <c r="AT217" s="2354">
        <v>0</v>
      </c>
      <c r="AU217" s="2348">
        <v>0</v>
      </c>
      <c r="AV217" s="2354">
        <v>0</v>
      </c>
      <c r="AW217" s="2348">
        <v>0</v>
      </c>
      <c r="AX217" s="2354">
        <v>0</v>
      </c>
      <c r="AZ217" s="2346"/>
      <c r="BA217" s="2355"/>
      <c r="BD217" s="42"/>
      <c r="BI217" s="22"/>
      <c r="BJ217" s="58"/>
      <c r="BL217" s="22"/>
      <c r="BN217" s="44"/>
      <c r="BP217" s="45"/>
      <c r="BQ217" s="46"/>
    </row>
    <row r="218" spans="1:69" ht="15" customHeight="1" x14ac:dyDescent="0.25">
      <c r="A218" s="22">
        <v>519701</v>
      </c>
      <c r="B218" s="23" t="s">
        <v>467</v>
      </c>
      <c r="C218" s="22" t="s">
        <v>454</v>
      </c>
      <c r="D218" s="23" t="s">
        <v>468</v>
      </c>
      <c r="E218" s="23" t="s">
        <v>468</v>
      </c>
      <c r="F218" s="22"/>
      <c r="G218" s="22"/>
      <c r="H218" s="23"/>
      <c r="I218" s="24"/>
      <c r="J218" s="2356"/>
      <c r="K218" s="26" t="s">
        <v>456</v>
      </c>
      <c r="L218" s="27">
        <v>0.47299999999999998</v>
      </c>
      <c r="M218" s="28">
        <v>6</v>
      </c>
      <c r="N218" s="27">
        <f t="shared" si="27"/>
        <v>2.8380000000000001</v>
      </c>
      <c r="O218" s="27">
        <f t="shared" si="28"/>
        <v>0.49983139804577709</v>
      </c>
      <c r="P218" s="28">
        <v>9</v>
      </c>
      <c r="Q218" s="28">
        <v>40</v>
      </c>
      <c r="R218" s="29">
        <f t="shared" si="26"/>
        <v>360</v>
      </c>
      <c r="S218" s="30"/>
      <c r="T218" s="30"/>
      <c r="U218" s="2357"/>
      <c r="V218" s="2358"/>
      <c r="W218" s="2359"/>
      <c r="X218" s="2360">
        <v>0</v>
      </c>
      <c r="Y218" s="2359"/>
      <c r="Z218" s="2360">
        <v>0</v>
      </c>
      <c r="AA218" s="2359"/>
      <c r="AB218" s="2360"/>
      <c r="AC218" s="2359">
        <v>0</v>
      </c>
      <c r="AD218" s="2360">
        <v>0</v>
      </c>
      <c r="AE218" s="2359">
        <v>0</v>
      </c>
      <c r="AF218" s="2360">
        <v>0</v>
      </c>
      <c r="AG218" s="2361"/>
      <c r="AH218" s="2362"/>
      <c r="AI218" s="2359">
        <v>0</v>
      </c>
      <c r="AJ218" s="2360">
        <v>0</v>
      </c>
      <c r="AK218" s="2363">
        <v>0</v>
      </c>
      <c r="AL218" s="2364">
        <v>0</v>
      </c>
      <c r="AM218" s="2359">
        <v>0</v>
      </c>
      <c r="AN218" s="2365">
        <v>0</v>
      </c>
      <c r="AO218" s="2359">
        <v>0</v>
      </c>
      <c r="AP218" s="2365">
        <v>0</v>
      </c>
      <c r="AQ218" s="2359">
        <v>0</v>
      </c>
      <c r="AR218" s="2365">
        <v>0</v>
      </c>
      <c r="AS218" s="2359">
        <v>0</v>
      </c>
      <c r="AT218" s="2365">
        <v>0</v>
      </c>
      <c r="AU218" s="2359">
        <v>0</v>
      </c>
      <c r="AV218" s="2365">
        <v>0</v>
      </c>
      <c r="AW218" s="2359">
        <v>0</v>
      </c>
      <c r="AX218" s="2365">
        <v>0</v>
      </c>
      <c r="AZ218" s="2357"/>
      <c r="BA218" s="2366"/>
      <c r="BD218" s="42"/>
      <c r="BI218" s="22"/>
      <c r="BJ218" s="58"/>
      <c r="BL218" s="22"/>
      <c r="BN218" s="44"/>
      <c r="BP218" s="45"/>
      <c r="BQ218" s="46"/>
    </row>
    <row r="219" spans="1:69" ht="15" customHeight="1" x14ac:dyDescent="0.25">
      <c r="A219" s="22">
        <v>519702</v>
      </c>
      <c r="B219" s="23" t="s">
        <v>469</v>
      </c>
      <c r="C219" s="22" t="s">
        <v>454</v>
      </c>
      <c r="D219" s="23" t="s">
        <v>468</v>
      </c>
      <c r="E219" s="23" t="s">
        <v>468</v>
      </c>
      <c r="F219" s="22"/>
      <c r="G219" s="22"/>
      <c r="H219" s="23"/>
      <c r="I219" s="24"/>
      <c r="J219" s="2367"/>
      <c r="K219" s="26" t="s">
        <v>456</v>
      </c>
      <c r="L219" s="27">
        <v>0.47299999999999998</v>
      </c>
      <c r="M219" s="28">
        <v>6</v>
      </c>
      <c r="N219" s="27">
        <f t="shared" si="27"/>
        <v>2.8380000000000001</v>
      </c>
      <c r="O219" s="27">
        <f t="shared" si="28"/>
        <v>0.49983139804577709</v>
      </c>
      <c r="P219" s="28">
        <v>9</v>
      </c>
      <c r="Q219" s="28">
        <v>40</v>
      </c>
      <c r="R219" s="29">
        <f t="shared" si="26"/>
        <v>360</v>
      </c>
      <c r="S219" s="30"/>
      <c r="T219" s="30"/>
      <c r="U219" s="2368"/>
      <c r="V219" s="2369"/>
      <c r="W219" s="2370"/>
      <c r="X219" s="2371">
        <v>0</v>
      </c>
      <c r="Y219" s="2370"/>
      <c r="Z219" s="2371">
        <v>0</v>
      </c>
      <c r="AA219" s="2370"/>
      <c r="AB219" s="2371"/>
      <c r="AC219" s="2370">
        <v>0</v>
      </c>
      <c r="AD219" s="2371">
        <v>0</v>
      </c>
      <c r="AE219" s="2370">
        <v>0</v>
      </c>
      <c r="AF219" s="2371">
        <v>0</v>
      </c>
      <c r="AG219" s="2372"/>
      <c r="AH219" s="2373"/>
      <c r="AI219" s="2370">
        <v>0</v>
      </c>
      <c r="AJ219" s="2371">
        <v>0</v>
      </c>
      <c r="AK219" s="2374">
        <v>0</v>
      </c>
      <c r="AL219" s="2375">
        <v>0</v>
      </c>
      <c r="AM219" s="2370">
        <v>0</v>
      </c>
      <c r="AN219" s="2376">
        <v>0</v>
      </c>
      <c r="AO219" s="2370">
        <v>0</v>
      </c>
      <c r="AP219" s="2376">
        <v>0</v>
      </c>
      <c r="AQ219" s="2370">
        <v>0</v>
      </c>
      <c r="AR219" s="2376">
        <v>0</v>
      </c>
      <c r="AS219" s="2370">
        <v>0</v>
      </c>
      <c r="AT219" s="2376">
        <v>0</v>
      </c>
      <c r="AU219" s="2370">
        <v>0</v>
      </c>
      <c r="AV219" s="2376">
        <v>0</v>
      </c>
      <c r="AW219" s="2370">
        <v>0</v>
      </c>
      <c r="AX219" s="2376">
        <v>0</v>
      </c>
      <c r="AZ219" s="2368"/>
      <c r="BA219" s="2377"/>
      <c r="BD219" s="42"/>
      <c r="BI219" s="22"/>
      <c r="BJ219" s="58"/>
      <c r="BL219" s="22"/>
      <c r="BN219" s="44"/>
      <c r="BP219" s="45"/>
      <c r="BQ219" s="46"/>
    </row>
    <row r="220" spans="1:69" ht="15" customHeight="1" x14ac:dyDescent="0.25">
      <c r="A220" s="22">
        <v>519703</v>
      </c>
      <c r="B220" s="23" t="s">
        <v>470</v>
      </c>
      <c r="C220" s="22" t="s">
        <v>454</v>
      </c>
      <c r="D220" s="23" t="s">
        <v>468</v>
      </c>
      <c r="E220" s="23" t="s">
        <v>468</v>
      </c>
      <c r="F220" s="22"/>
      <c r="G220" s="22"/>
      <c r="H220" s="23"/>
      <c r="I220" s="24"/>
      <c r="J220" s="2378"/>
      <c r="K220" s="26" t="s">
        <v>456</v>
      </c>
      <c r="L220" s="27">
        <v>0.47299999999999998</v>
      </c>
      <c r="M220" s="28">
        <v>6</v>
      </c>
      <c r="N220" s="27">
        <f t="shared" si="27"/>
        <v>2.8380000000000001</v>
      </c>
      <c r="O220" s="27">
        <f t="shared" si="28"/>
        <v>0.49983139804577709</v>
      </c>
      <c r="P220" s="28">
        <v>9</v>
      </c>
      <c r="Q220" s="28">
        <v>40</v>
      </c>
      <c r="R220" s="29">
        <f t="shared" si="26"/>
        <v>360</v>
      </c>
      <c r="S220" s="30"/>
      <c r="T220" s="30"/>
      <c r="U220" s="2379"/>
      <c r="V220" s="2380"/>
      <c r="W220" s="2381"/>
      <c r="X220" s="2382">
        <v>0</v>
      </c>
      <c r="Y220" s="2381"/>
      <c r="Z220" s="2382">
        <v>0</v>
      </c>
      <c r="AA220" s="2381"/>
      <c r="AB220" s="2382"/>
      <c r="AC220" s="2381">
        <v>0</v>
      </c>
      <c r="AD220" s="2382">
        <v>0</v>
      </c>
      <c r="AE220" s="2381">
        <v>0</v>
      </c>
      <c r="AF220" s="2382">
        <v>0</v>
      </c>
      <c r="AG220" s="2383"/>
      <c r="AH220" s="2384"/>
      <c r="AI220" s="2381">
        <v>0</v>
      </c>
      <c r="AJ220" s="2382">
        <v>0</v>
      </c>
      <c r="AK220" s="2385">
        <v>0</v>
      </c>
      <c r="AL220" s="2386">
        <v>0</v>
      </c>
      <c r="AM220" s="2381">
        <v>0</v>
      </c>
      <c r="AN220" s="2387">
        <v>0</v>
      </c>
      <c r="AO220" s="2381">
        <v>0</v>
      </c>
      <c r="AP220" s="2387">
        <v>0</v>
      </c>
      <c r="AQ220" s="2381">
        <v>0</v>
      </c>
      <c r="AR220" s="2387">
        <v>0</v>
      </c>
      <c r="AS220" s="2381">
        <v>0</v>
      </c>
      <c r="AT220" s="2387">
        <v>0</v>
      </c>
      <c r="AU220" s="2381">
        <v>0</v>
      </c>
      <c r="AV220" s="2387">
        <v>0</v>
      </c>
      <c r="AW220" s="2381">
        <v>0</v>
      </c>
      <c r="AX220" s="2387">
        <v>0</v>
      </c>
      <c r="AZ220" s="2379"/>
      <c r="BA220" s="2388"/>
      <c r="BD220" s="42"/>
      <c r="BI220" s="22"/>
      <c r="BJ220" s="58"/>
      <c r="BL220" s="22"/>
      <c r="BN220" s="44"/>
      <c r="BP220" s="45"/>
      <c r="BQ220" s="46"/>
    </row>
    <row r="221" spans="1:69" ht="15" customHeight="1" x14ac:dyDescent="0.25">
      <c r="A221" s="22">
        <v>519704</v>
      </c>
      <c r="B221" s="23" t="s">
        <v>471</v>
      </c>
      <c r="C221" s="22" t="s">
        <v>454</v>
      </c>
      <c r="D221" s="23" t="s">
        <v>468</v>
      </c>
      <c r="E221" s="23" t="s">
        <v>468</v>
      </c>
      <c r="F221" s="22"/>
      <c r="G221" s="22"/>
      <c r="H221" s="23"/>
      <c r="I221" s="24"/>
      <c r="J221" s="2389"/>
      <c r="K221" s="26" t="s">
        <v>456</v>
      </c>
      <c r="L221" s="27">
        <v>0.47299999999999998</v>
      </c>
      <c r="M221" s="28">
        <v>6</v>
      </c>
      <c r="N221" s="27">
        <f t="shared" si="27"/>
        <v>2.8380000000000001</v>
      </c>
      <c r="O221" s="27">
        <f t="shared" si="28"/>
        <v>0.49983139804577709</v>
      </c>
      <c r="P221" s="28">
        <v>9</v>
      </c>
      <c r="Q221" s="28">
        <v>40</v>
      </c>
      <c r="R221" s="29">
        <f t="shared" si="26"/>
        <v>360</v>
      </c>
      <c r="S221" s="30"/>
      <c r="T221" s="30"/>
      <c r="U221" s="2390"/>
      <c r="V221" s="2391"/>
      <c r="W221" s="2392"/>
      <c r="X221" s="2393">
        <v>0</v>
      </c>
      <c r="Y221" s="2392"/>
      <c r="Z221" s="2393">
        <v>0</v>
      </c>
      <c r="AA221" s="2392"/>
      <c r="AB221" s="2393"/>
      <c r="AC221" s="2392">
        <v>0</v>
      </c>
      <c r="AD221" s="2393">
        <v>0</v>
      </c>
      <c r="AE221" s="2392">
        <v>0</v>
      </c>
      <c r="AF221" s="2393">
        <v>0</v>
      </c>
      <c r="AG221" s="2394"/>
      <c r="AH221" s="2395"/>
      <c r="AI221" s="2392">
        <v>0</v>
      </c>
      <c r="AJ221" s="2393">
        <v>0</v>
      </c>
      <c r="AK221" s="2396">
        <v>0</v>
      </c>
      <c r="AL221" s="2397">
        <v>0</v>
      </c>
      <c r="AM221" s="2392">
        <v>0</v>
      </c>
      <c r="AN221" s="2398">
        <v>0</v>
      </c>
      <c r="AO221" s="2392">
        <v>0</v>
      </c>
      <c r="AP221" s="2398">
        <v>0</v>
      </c>
      <c r="AQ221" s="2392">
        <v>0</v>
      </c>
      <c r="AR221" s="2398">
        <v>0</v>
      </c>
      <c r="AS221" s="2392">
        <v>0</v>
      </c>
      <c r="AT221" s="2398">
        <v>0</v>
      </c>
      <c r="AU221" s="2392">
        <v>0</v>
      </c>
      <c r="AV221" s="2398">
        <v>0</v>
      </c>
      <c r="AW221" s="2392">
        <v>0</v>
      </c>
      <c r="AX221" s="2398">
        <v>0</v>
      </c>
      <c r="AZ221" s="2390"/>
      <c r="BA221" s="2399"/>
      <c r="BD221" s="42"/>
      <c r="BI221" s="22"/>
      <c r="BJ221" s="58"/>
      <c r="BL221" s="22"/>
      <c r="BN221" s="44"/>
      <c r="BP221" s="45"/>
      <c r="BQ221" s="46"/>
    </row>
    <row r="222" spans="1:69" ht="15" customHeight="1" x14ac:dyDescent="0.25">
      <c r="A222" s="22">
        <v>519705</v>
      </c>
      <c r="B222" s="23" t="s">
        <v>472</v>
      </c>
      <c r="C222" s="22" t="s">
        <v>454</v>
      </c>
      <c r="D222" s="23" t="s">
        <v>468</v>
      </c>
      <c r="E222" s="23" t="s">
        <v>468</v>
      </c>
      <c r="F222" s="22"/>
      <c r="G222" s="22"/>
      <c r="H222" s="23"/>
      <c r="I222" s="24"/>
      <c r="J222" s="2400"/>
      <c r="K222" s="26" t="s">
        <v>456</v>
      </c>
      <c r="L222" s="27">
        <v>0.47299999999999998</v>
      </c>
      <c r="M222" s="28">
        <v>6</v>
      </c>
      <c r="N222" s="27">
        <f t="shared" si="27"/>
        <v>2.8380000000000001</v>
      </c>
      <c r="O222" s="27">
        <f t="shared" si="28"/>
        <v>0.49983139804577709</v>
      </c>
      <c r="P222" s="28">
        <v>9</v>
      </c>
      <c r="Q222" s="28">
        <v>40</v>
      </c>
      <c r="R222" s="29">
        <f t="shared" si="26"/>
        <v>360</v>
      </c>
      <c r="S222" s="30"/>
      <c r="T222" s="30"/>
      <c r="U222" s="2401"/>
      <c r="V222" s="2402"/>
      <c r="W222" s="2403"/>
      <c r="X222" s="2404">
        <v>0</v>
      </c>
      <c r="Y222" s="2403"/>
      <c r="Z222" s="2404">
        <v>0</v>
      </c>
      <c r="AA222" s="2403"/>
      <c r="AB222" s="2404"/>
      <c r="AC222" s="2403">
        <v>0</v>
      </c>
      <c r="AD222" s="2404">
        <v>0</v>
      </c>
      <c r="AE222" s="2403">
        <v>0</v>
      </c>
      <c r="AF222" s="2404">
        <v>0</v>
      </c>
      <c r="AG222" s="2405"/>
      <c r="AH222" s="2406"/>
      <c r="AI222" s="2403">
        <v>0</v>
      </c>
      <c r="AJ222" s="2404">
        <v>0</v>
      </c>
      <c r="AK222" s="2407">
        <v>0</v>
      </c>
      <c r="AL222" s="2408">
        <v>0</v>
      </c>
      <c r="AM222" s="2403">
        <v>0</v>
      </c>
      <c r="AN222" s="2409">
        <v>0</v>
      </c>
      <c r="AO222" s="2403">
        <v>0</v>
      </c>
      <c r="AP222" s="2409">
        <v>0</v>
      </c>
      <c r="AQ222" s="2403">
        <v>0</v>
      </c>
      <c r="AR222" s="2409">
        <v>0</v>
      </c>
      <c r="AS222" s="2403">
        <v>0</v>
      </c>
      <c r="AT222" s="2409">
        <v>0</v>
      </c>
      <c r="AU222" s="2403">
        <v>0</v>
      </c>
      <c r="AV222" s="2409">
        <v>0</v>
      </c>
      <c r="AW222" s="2403">
        <v>0</v>
      </c>
      <c r="AX222" s="2409">
        <v>0</v>
      </c>
      <c r="AZ222" s="2401"/>
      <c r="BA222" s="2410"/>
      <c r="BD222" s="42"/>
      <c r="BI222" s="22"/>
      <c r="BJ222" s="58"/>
      <c r="BL222" s="22"/>
      <c r="BN222" s="44"/>
      <c r="BP222" s="45"/>
      <c r="BQ222" s="46"/>
    </row>
    <row r="223" spans="1:69" ht="15" customHeight="1" x14ac:dyDescent="0.25">
      <c r="A223" s="22">
        <v>519706</v>
      </c>
      <c r="B223" s="23" t="s">
        <v>473</v>
      </c>
      <c r="C223" s="22" t="s">
        <v>454</v>
      </c>
      <c r="D223" s="23" t="s">
        <v>468</v>
      </c>
      <c r="E223" s="23" t="s">
        <v>468</v>
      </c>
      <c r="F223" s="22"/>
      <c r="G223" s="22"/>
      <c r="H223" s="23"/>
      <c r="I223" s="24"/>
      <c r="J223" s="2411"/>
      <c r="K223" s="26" t="s">
        <v>456</v>
      </c>
      <c r="L223" s="27">
        <v>0.47299999999999998</v>
      </c>
      <c r="M223" s="28">
        <v>6</v>
      </c>
      <c r="N223" s="27">
        <f t="shared" si="27"/>
        <v>2.8380000000000001</v>
      </c>
      <c r="O223" s="27">
        <f t="shared" si="28"/>
        <v>0.49983139804577709</v>
      </c>
      <c r="P223" s="28">
        <v>9</v>
      </c>
      <c r="Q223" s="28">
        <v>40</v>
      </c>
      <c r="R223" s="29">
        <f t="shared" si="26"/>
        <v>360</v>
      </c>
      <c r="S223" s="30"/>
      <c r="T223" s="30"/>
      <c r="U223" s="2412"/>
      <c r="V223" s="2413"/>
      <c r="W223" s="2414"/>
      <c r="X223" s="2415">
        <v>0</v>
      </c>
      <c r="Y223" s="2414"/>
      <c r="Z223" s="2415">
        <v>0</v>
      </c>
      <c r="AA223" s="2414"/>
      <c r="AB223" s="2415"/>
      <c r="AC223" s="2414">
        <v>0</v>
      </c>
      <c r="AD223" s="2415">
        <v>0</v>
      </c>
      <c r="AE223" s="2414">
        <v>0</v>
      </c>
      <c r="AF223" s="2415">
        <v>0</v>
      </c>
      <c r="AG223" s="2416"/>
      <c r="AH223" s="2417"/>
      <c r="AI223" s="2414">
        <v>0</v>
      </c>
      <c r="AJ223" s="2415">
        <v>0</v>
      </c>
      <c r="AK223" s="2418">
        <v>0</v>
      </c>
      <c r="AL223" s="2419">
        <v>0</v>
      </c>
      <c r="AM223" s="2414">
        <v>0</v>
      </c>
      <c r="AN223" s="2420">
        <v>0</v>
      </c>
      <c r="AO223" s="2414">
        <v>0</v>
      </c>
      <c r="AP223" s="2420">
        <v>0</v>
      </c>
      <c r="AQ223" s="2414">
        <v>0</v>
      </c>
      <c r="AR223" s="2420">
        <v>0</v>
      </c>
      <c r="AS223" s="2414">
        <v>0</v>
      </c>
      <c r="AT223" s="2420">
        <v>0</v>
      </c>
      <c r="AU223" s="2414">
        <v>0</v>
      </c>
      <c r="AV223" s="2420">
        <v>0</v>
      </c>
      <c r="AW223" s="2414">
        <v>0</v>
      </c>
      <c r="AX223" s="2420">
        <v>0</v>
      </c>
      <c r="AZ223" s="2412"/>
      <c r="BA223" s="2421"/>
      <c r="BD223" s="42"/>
      <c r="BI223" s="22"/>
      <c r="BJ223" s="58"/>
      <c r="BL223" s="22"/>
      <c r="BN223" s="44"/>
      <c r="BP223" s="45"/>
      <c r="BQ223" s="46"/>
    </row>
    <row r="224" spans="1:69" ht="15" customHeight="1" x14ac:dyDescent="0.25">
      <c r="A224" s="22">
        <v>510725</v>
      </c>
      <c r="B224" s="23" t="s">
        <v>474</v>
      </c>
      <c r="C224" s="22" t="s">
        <v>454</v>
      </c>
      <c r="D224" s="23" t="s">
        <v>465</v>
      </c>
      <c r="E224" s="23" t="s">
        <v>465</v>
      </c>
      <c r="F224" s="22"/>
      <c r="G224" s="22"/>
      <c r="H224" s="23"/>
      <c r="I224" s="24"/>
      <c r="J224" s="2422"/>
      <c r="K224" s="26" t="s">
        <v>456</v>
      </c>
      <c r="L224" s="27">
        <v>0.47299999999999998</v>
      </c>
      <c r="M224" s="28">
        <v>6</v>
      </c>
      <c r="N224" s="27">
        <f t="shared" si="27"/>
        <v>2.8380000000000001</v>
      </c>
      <c r="O224" s="27">
        <f t="shared" si="28"/>
        <v>0.49983139804577709</v>
      </c>
      <c r="P224" s="28">
        <v>9</v>
      </c>
      <c r="Q224" s="28">
        <v>40</v>
      </c>
      <c r="R224" s="29">
        <f>P224*Q224</f>
        <v>360</v>
      </c>
      <c r="S224" s="30"/>
      <c r="T224" s="30"/>
      <c r="U224" s="2423"/>
      <c r="V224" s="2424"/>
      <c r="W224" s="2425"/>
      <c r="X224" s="2426">
        <v>0</v>
      </c>
      <c r="Y224" s="2425"/>
      <c r="Z224" s="2426">
        <v>0</v>
      </c>
      <c r="AA224" s="2425"/>
      <c r="AB224" s="2426"/>
      <c r="AC224" s="2425">
        <v>0</v>
      </c>
      <c r="AD224" s="2426">
        <v>0</v>
      </c>
      <c r="AE224" s="2425">
        <v>0</v>
      </c>
      <c r="AF224" s="2426">
        <v>0</v>
      </c>
      <c r="AG224" s="2427"/>
      <c r="AH224" s="2428"/>
      <c r="AI224" s="2425">
        <v>0</v>
      </c>
      <c r="AJ224" s="2426">
        <v>0</v>
      </c>
      <c r="AK224" s="2429">
        <v>0</v>
      </c>
      <c r="AL224" s="2430">
        <v>0</v>
      </c>
      <c r="AM224" s="2425">
        <v>0</v>
      </c>
      <c r="AN224" s="2431">
        <v>0</v>
      </c>
      <c r="AO224" s="2425">
        <v>0</v>
      </c>
      <c r="AP224" s="2431">
        <v>0</v>
      </c>
      <c r="AQ224" s="2425">
        <v>0</v>
      </c>
      <c r="AR224" s="2431">
        <v>0</v>
      </c>
      <c r="AS224" s="2425">
        <v>0</v>
      </c>
      <c r="AT224" s="2431">
        <v>0</v>
      </c>
      <c r="AU224" s="2425">
        <v>0</v>
      </c>
      <c r="AV224" s="2431">
        <v>0</v>
      </c>
      <c r="AW224" s="2425">
        <v>0</v>
      </c>
      <c r="AX224" s="2431">
        <v>0</v>
      </c>
      <c r="AZ224" s="2423"/>
      <c r="BA224" s="2432"/>
      <c r="BD224" s="42"/>
      <c r="BI224" s="22"/>
      <c r="BJ224" s="58"/>
      <c r="BL224" s="22"/>
      <c r="BN224" s="44"/>
      <c r="BP224" s="45"/>
      <c r="BQ224" s="46"/>
    </row>
    <row r="225" spans="1:80" ht="15" customHeight="1" x14ac:dyDescent="0.25">
      <c r="A225" s="22">
        <v>3926</v>
      </c>
      <c r="B225" s="23" t="s">
        <v>475</v>
      </c>
      <c r="C225" s="22" t="s">
        <v>170</v>
      </c>
      <c r="D225" s="23" t="s">
        <v>349</v>
      </c>
      <c r="E225" s="23" t="s">
        <v>349</v>
      </c>
      <c r="F225" s="22" t="s">
        <v>255</v>
      </c>
      <c r="G225" s="22" t="s">
        <v>255</v>
      </c>
      <c r="H225" s="23" t="s">
        <v>353</v>
      </c>
      <c r="I225" s="24" t="s">
        <v>353</v>
      </c>
      <c r="J225" s="2433">
        <v>4.1666670000000003E-2</v>
      </c>
      <c r="K225" s="26" t="s">
        <v>94</v>
      </c>
      <c r="L225" s="27">
        <v>1.5</v>
      </c>
      <c r="M225" s="28">
        <v>6</v>
      </c>
      <c r="N225" s="27">
        <f t="shared" si="27"/>
        <v>9</v>
      </c>
      <c r="O225" s="27">
        <f t="shared" si="28"/>
        <v>1.5850890001451705</v>
      </c>
      <c r="P225" s="28">
        <v>4</v>
      </c>
      <c r="Q225" s="28">
        <v>28</v>
      </c>
      <c r="R225" s="29">
        <f t="shared" si="26"/>
        <v>112</v>
      </c>
      <c r="S225" s="30">
        <v>0.17</v>
      </c>
      <c r="T225" s="30">
        <v>0.1</v>
      </c>
      <c r="U225" s="2434"/>
      <c r="V225" s="2435"/>
      <c r="W225" s="2436"/>
      <c r="X225" s="2437">
        <v>0</v>
      </c>
      <c r="Y225" s="2436"/>
      <c r="Z225" s="2437">
        <v>0</v>
      </c>
      <c r="AA225" s="2436"/>
      <c r="AB225" s="2437"/>
      <c r="AC225" s="2436">
        <v>0</v>
      </c>
      <c r="AD225" s="2437">
        <v>0</v>
      </c>
      <c r="AE225" s="2436">
        <v>0</v>
      </c>
      <c r="AF225" s="2437">
        <v>0</v>
      </c>
      <c r="AG225" s="2438"/>
      <c r="AH225" s="2439"/>
      <c r="AI225" s="2436">
        <v>0</v>
      </c>
      <c r="AJ225" s="2437">
        <v>0</v>
      </c>
      <c r="AK225" s="2440">
        <v>0</v>
      </c>
      <c r="AL225" s="2441">
        <v>0</v>
      </c>
      <c r="AM225" s="2436">
        <v>0</v>
      </c>
      <c r="AN225" s="2442">
        <v>0</v>
      </c>
      <c r="AO225" s="2436">
        <v>0</v>
      </c>
      <c r="AP225" s="2442">
        <v>0</v>
      </c>
      <c r="AQ225" s="2436">
        <v>0</v>
      </c>
      <c r="AR225" s="2442">
        <v>0</v>
      </c>
      <c r="AS225" s="2436">
        <v>0</v>
      </c>
      <c r="AT225" s="2442">
        <v>0</v>
      </c>
      <c r="AU225" s="2436">
        <v>0</v>
      </c>
      <c r="AV225" s="2442">
        <v>0</v>
      </c>
      <c r="AW225" s="2436">
        <v>0</v>
      </c>
      <c r="AX225" s="2442">
        <v>0</v>
      </c>
      <c r="AZ225" s="2434"/>
      <c r="BA225" s="2443"/>
      <c r="BD225" s="42"/>
      <c r="BI225" s="22"/>
      <c r="BJ225" s="58"/>
      <c r="BL225" s="22"/>
      <c r="BN225" s="44"/>
      <c r="BP225" s="45"/>
      <c r="BQ225" s="46"/>
    </row>
    <row r="226" spans="1:80" ht="15" customHeight="1" x14ac:dyDescent="0.25">
      <c r="A226" s="22">
        <v>3923</v>
      </c>
      <c r="B226" s="23" t="s">
        <v>476</v>
      </c>
      <c r="C226" s="22" t="s">
        <v>170</v>
      </c>
      <c r="D226" s="23" t="s">
        <v>349</v>
      </c>
      <c r="E226" s="23" t="s">
        <v>349</v>
      </c>
      <c r="F226" s="22" t="s">
        <v>477</v>
      </c>
      <c r="G226" s="22" t="s">
        <v>477</v>
      </c>
      <c r="H226" s="23" t="s">
        <v>478</v>
      </c>
      <c r="I226" s="24" t="s">
        <v>478</v>
      </c>
      <c r="J226" s="2444">
        <v>4.1666670000000003E-2</v>
      </c>
      <c r="K226" s="26" t="s">
        <v>94</v>
      </c>
      <c r="L226" s="27">
        <v>0.6</v>
      </c>
      <c r="M226" s="28">
        <v>6</v>
      </c>
      <c r="N226" s="27">
        <f t="shared" si="27"/>
        <v>3.5999999999999996</v>
      </c>
      <c r="O226" s="27">
        <f t="shared" si="28"/>
        <v>0.63403560005806814</v>
      </c>
      <c r="P226" s="28">
        <v>6</v>
      </c>
      <c r="Q226" s="28">
        <v>42</v>
      </c>
      <c r="R226" s="29">
        <f t="shared" si="26"/>
        <v>252</v>
      </c>
      <c r="S226" s="30">
        <v>0.17</v>
      </c>
      <c r="T226" s="30">
        <v>0.1</v>
      </c>
      <c r="U226" s="2445"/>
      <c r="V226" s="2446"/>
      <c r="W226" s="2447"/>
      <c r="X226" s="2448">
        <v>0</v>
      </c>
      <c r="Y226" s="2447"/>
      <c r="Z226" s="2448">
        <v>0</v>
      </c>
      <c r="AA226" s="2447"/>
      <c r="AB226" s="2448"/>
      <c r="AC226" s="2447">
        <v>0</v>
      </c>
      <c r="AD226" s="2448">
        <v>0</v>
      </c>
      <c r="AE226" s="2447">
        <v>0</v>
      </c>
      <c r="AF226" s="2448">
        <v>0</v>
      </c>
      <c r="AG226" s="2449"/>
      <c r="AH226" s="2450"/>
      <c r="AI226" s="2447">
        <v>0</v>
      </c>
      <c r="AJ226" s="2448">
        <v>0</v>
      </c>
      <c r="AK226" s="2451">
        <v>0</v>
      </c>
      <c r="AL226" s="2452">
        <v>0</v>
      </c>
      <c r="AM226" s="2447">
        <v>0</v>
      </c>
      <c r="AN226" s="2453">
        <v>0</v>
      </c>
      <c r="AO226" s="2447">
        <v>0</v>
      </c>
      <c r="AP226" s="2453">
        <v>0</v>
      </c>
      <c r="AQ226" s="2447">
        <v>0</v>
      </c>
      <c r="AR226" s="2453">
        <v>0</v>
      </c>
      <c r="AS226" s="2447">
        <v>0</v>
      </c>
      <c r="AT226" s="2453">
        <v>0</v>
      </c>
      <c r="AU226" s="2447">
        <v>0</v>
      </c>
      <c r="AV226" s="2453">
        <v>0</v>
      </c>
      <c r="AW226" s="2447">
        <v>0</v>
      </c>
      <c r="AX226" s="2453">
        <v>0</v>
      </c>
      <c r="AZ226" s="2445"/>
      <c r="BA226" s="2454"/>
      <c r="BD226" s="42"/>
      <c r="BI226" s="22"/>
      <c r="BJ226" s="58"/>
      <c r="BL226" s="22"/>
      <c r="BN226" s="44"/>
      <c r="BP226" s="45"/>
      <c r="BQ226" s="46"/>
    </row>
    <row r="227" spans="1:80" ht="15" customHeight="1" x14ac:dyDescent="0.25">
      <c r="A227" s="22">
        <v>3811</v>
      </c>
      <c r="B227" s="23" t="s">
        <v>479</v>
      </c>
      <c r="C227" s="22" t="s">
        <v>170</v>
      </c>
      <c r="D227" s="23" t="s">
        <v>380</v>
      </c>
      <c r="E227" s="23" t="s">
        <v>380</v>
      </c>
      <c r="F227" s="22" t="s">
        <v>283</v>
      </c>
      <c r="G227" s="22" t="s">
        <v>283</v>
      </c>
      <c r="H227" s="23" t="s">
        <v>381</v>
      </c>
      <c r="I227" s="24" t="s">
        <v>381</v>
      </c>
      <c r="J227" s="2455">
        <v>0</v>
      </c>
      <c r="K227" s="26" t="s">
        <v>94</v>
      </c>
      <c r="L227" s="27">
        <v>0.5</v>
      </c>
      <c r="M227" s="28">
        <v>6</v>
      </c>
      <c r="N227" s="27">
        <f t="shared" si="27"/>
        <v>3</v>
      </c>
      <c r="O227" s="27">
        <f t="shared" si="28"/>
        <v>0.5283630000483901</v>
      </c>
      <c r="P227" s="28">
        <v>7</v>
      </c>
      <c r="Q227" s="28">
        <v>45</v>
      </c>
      <c r="R227" s="29">
        <f t="shared" si="26"/>
        <v>315</v>
      </c>
      <c r="S227" s="30">
        <v>0.22</v>
      </c>
      <c r="T227" s="30">
        <v>0.1</v>
      </c>
      <c r="U227" s="2456"/>
      <c r="V227" s="2457"/>
      <c r="W227" s="2458"/>
      <c r="X227" s="2459">
        <v>0</v>
      </c>
      <c r="Y227" s="2458"/>
      <c r="Z227" s="2459">
        <v>0</v>
      </c>
      <c r="AA227" s="2458"/>
      <c r="AB227" s="2459"/>
      <c r="AC227" s="2458">
        <v>0</v>
      </c>
      <c r="AD227" s="2459">
        <v>0</v>
      </c>
      <c r="AE227" s="2458">
        <v>0</v>
      </c>
      <c r="AF227" s="2459">
        <v>0</v>
      </c>
      <c r="AG227" s="2460"/>
      <c r="AH227" s="2461"/>
      <c r="AI227" s="2458">
        <v>0</v>
      </c>
      <c r="AJ227" s="2459">
        <v>0</v>
      </c>
      <c r="AK227" s="2462">
        <v>0</v>
      </c>
      <c r="AL227" s="2463">
        <v>0</v>
      </c>
      <c r="AM227" s="2458">
        <v>0</v>
      </c>
      <c r="AN227" s="2464">
        <v>0</v>
      </c>
      <c r="AO227" s="2458">
        <v>0</v>
      </c>
      <c r="AP227" s="2464">
        <v>0</v>
      </c>
      <c r="AQ227" s="2458">
        <v>0</v>
      </c>
      <c r="AR227" s="2464">
        <v>0</v>
      </c>
      <c r="AS227" s="2458">
        <v>0</v>
      </c>
      <c r="AT227" s="2464">
        <v>0</v>
      </c>
      <c r="AU227" s="2458">
        <v>0</v>
      </c>
      <c r="AV227" s="2464">
        <v>0</v>
      </c>
      <c r="AW227" s="2458">
        <v>0</v>
      </c>
      <c r="AX227" s="2464">
        <v>0</v>
      </c>
      <c r="AZ227" s="2456"/>
      <c r="BA227" s="2465"/>
      <c r="BD227" s="42"/>
      <c r="BI227" s="22"/>
      <c r="BJ227" s="58"/>
      <c r="BL227" s="22"/>
      <c r="BN227" s="44"/>
      <c r="BP227" s="45"/>
      <c r="BQ227" s="46"/>
    </row>
    <row r="228" spans="1:80" ht="15" customHeight="1" x14ac:dyDescent="0.25">
      <c r="A228" s="22">
        <v>3045</v>
      </c>
      <c r="B228" s="23" t="s">
        <v>480</v>
      </c>
      <c r="C228" s="22" t="s">
        <v>76</v>
      </c>
      <c r="D228" s="23" t="s">
        <v>138</v>
      </c>
      <c r="E228" s="23" t="s">
        <v>139</v>
      </c>
      <c r="F228" s="22" t="s">
        <v>358</v>
      </c>
      <c r="G228" s="22" t="s">
        <v>481</v>
      </c>
      <c r="H228" s="23" t="s">
        <v>427</v>
      </c>
      <c r="I228" s="24" t="s">
        <v>427</v>
      </c>
      <c r="J228" s="2466">
        <v>8.6956519999999995E-2</v>
      </c>
      <c r="K228" s="26" t="s">
        <v>94</v>
      </c>
      <c r="L228" s="27">
        <v>0.47299999999999998</v>
      </c>
      <c r="M228" s="28">
        <v>6</v>
      </c>
      <c r="N228" s="27">
        <f t="shared" si="27"/>
        <v>2.8380000000000001</v>
      </c>
      <c r="O228" s="27">
        <f t="shared" si="28"/>
        <v>0.49983139804577709</v>
      </c>
      <c r="P228" s="28">
        <v>9</v>
      </c>
      <c r="Q228" s="28">
        <v>45</v>
      </c>
      <c r="R228" s="29">
        <f t="shared" si="26"/>
        <v>405</v>
      </c>
      <c r="S228" s="30">
        <v>0.23499999999999999</v>
      </c>
      <c r="T228" s="30">
        <v>0.05</v>
      </c>
      <c r="U228" s="2467"/>
      <c r="V228" s="2468"/>
      <c r="W228" s="2469"/>
      <c r="X228" s="2470">
        <v>0</v>
      </c>
      <c r="Y228" s="2469"/>
      <c r="Z228" s="2470">
        <v>0</v>
      </c>
      <c r="AA228" s="2469"/>
      <c r="AB228" s="2470"/>
      <c r="AC228" s="2469">
        <v>0</v>
      </c>
      <c r="AD228" s="2470">
        <v>0</v>
      </c>
      <c r="AE228" s="2469">
        <v>0</v>
      </c>
      <c r="AF228" s="2470">
        <v>0</v>
      </c>
      <c r="AG228" s="2471"/>
      <c r="AH228" s="2472"/>
      <c r="AI228" s="2469">
        <v>0</v>
      </c>
      <c r="AJ228" s="2470">
        <v>0</v>
      </c>
      <c r="AK228" s="2473">
        <v>0</v>
      </c>
      <c r="AL228" s="2474">
        <v>0</v>
      </c>
      <c r="AM228" s="2469">
        <v>0</v>
      </c>
      <c r="AN228" s="2475">
        <v>0</v>
      </c>
      <c r="AO228" s="2469">
        <v>0</v>
      </c>
      <c r="AP228" s="2475">
        <v>0</v>
      </c>
      <c r="AQ228" s="2469">
        <v>0</v>
      </c>
      <c r="AR228" s="2475">
        <v>0</v>
      </c>
      <c r="AS228" s="2469">
        <v>0</v>
      </c>
      <c r="AT228" s="2475">
        <v>0</v>
      </c>
      <c r="AU228" s="2469">
        <v>0</v>
      </c>
      <c r="AV228" s="2475">
        <v>0</v>
      </c>
      <c r="AW228" s="2469">
        <v>0</v>
      </c>
      <c r="AX228" s="2475">
        <v>0</v>
      </c>
      <c r="AZ228" s="2467"/>
      <c r="BA228" s="2476"/>
      <c r="BD228" s="42"/>
      <c r="BI228" s="22"/>
      <c r="BJ228" s="58"/>
      <c r="BL228" s="22"/>
      <c r="BN228" s="44"/>
      <c r="BP228" s="45"/>
      <c r="BQ228" s="46"/>
    </row>
    <row r="229" spans="1:80" ht="15" customHeight="1" x14ac:dyDescent="0.25">
      <c r="A229" s="22">
        <v>3210</v>
      </c>
      <c r="B229" s="23" t="s">
        <v>482</v>
      </c>
      <c r="C229" s="22" t="s">
        <v>170</v>
      </c>
      <c r="D229" s="23" t="s">
        <v>204</v>
      </c>
      <c r="E229" s="23" t="s">
        <v>204</v>
      </c>
      <c r="F229" s="22" t="s">
        <v>358</v>
      </c>
      <c r="G229" s="22" t="s">
        <v>358</v>
      </c>
      <c r="H229" s="23" t="s">
        <v>408</v>
      </c>
      <c r="I229" s="24" t="s">
        <v>408</v>
      </c>
      <c r="J229" s="2477">
        <v>0.1111</v>
      </c>
      <c r="K229" s="26" t="s">
        <v>94</v>
      </c>
      <c r="L229" s="27">
        <v>0.47299999999999998</v>
      </c>
      <c r="M229" s="28">
        <v>6</v>
      </c>
      <c r="N229" s="27">
        <f t="shared" si="27"/>
        <v>2.8380000000000001</v>
      </c>
      <c r="O229" s="27">
        <f t="shared" si="28"/>
        <v>0.49983139804577709</v>
      </c>
      <c r="P229" s="28">
        <v>9</v>
      </c>
      <c r="Q229" s="28">
        <v>45</v>
      </c>
      <c r="R229" s="29">
        <f t="shared" si="26"/>
        <v>405</v>
      </c>
      <c r="S229" s="30">
        <v>0</v>
      </c>
      <c r="T229" s="30">
        <v>0</v>
      </c>
      <c r="U229" s="2478"/>
      <c r="V229" s="2479"/>
      <c r="W229" s="2480"/>
      <c r="X229" s="2481">
        <v>0</v>
      </c>
      <c r="Y229" s="2480"/>
      <c r="Z229" s="2481">
        <v>0</v>
      </c>
      <c r="AA229" s="2480"/>
      <c r="AB229" s="2481"/>
      <c r="AC229" s="2480">
        <v>0</v>
      </c>
      <c r="AD229" s="2481">
        <v>0</v>
      </c>
      <c r="AE229" s="2480">
        <v>0</v>
      </c>
      <c r="AF229" s="2481">
        <v>0</v>
      </c>
      <c r="AG229" s="2482"/>
      <c r="AH229" s="2483"/>
      <c r="AI229" s="2480">
        <v>0</v>
      </c>
      <c r="AJ229" s="2481">
        <v>0</v>
      </c>
      <c r="AK229" s="2484">
        <v>0</v>
      </c>
      <c r="AL229" s="2485">
        <v>0</v>
      </c>
      <c r="AM229" s="2480">
        <v>0</v>
      </c>
      <c r="AN229" s="2486">
        <v>0</v>
      </c>
      <c r="AO229" s="2480">
        <v>0</v>
      </c>
      <c r="AP229" s="2486">
        <v>0</v>
      </c>
      <c r="AQ229" s="2480">
        <v>0</v>
      </c>
      <c r="AR229" s="2486">
        <v>0</v>
      </c>
      <c r="AS229" s="2480">
        <v>0</v>
      </c>
      <c r="AT229" s="2486">
        <v>0</v>
      </c>
      <c r="AU229" s="2480">
        <v>0</v>
      </c>
      <c r="AV229" s="2486">
        <v>0</v>
      </c>
      <c r="AW229" s="2480">
        <v>0</v>
      </c>
      <c r="AX229" s="2486">
        <v>0</v>
      </c>
      <c r="AZ229" s="2478"/>
      <c r="BA229" s="2487"/>
      <c r="BD229" s="42"/>
      <c r="BI229" s="22"/>
      <c r="BJ229" s="58"/>
      <c r="BL229" s="22"/>
      <c r="BN229" s="44"/>
      <c r="BP229" s="45"/>
      <c r="BQ229" s="46"/>
    </row>
    <row r="230" spans="1:80" ht="15" customHeight="1" x14ac:dyDescent="0.25">
      <c r="A230" s="22">
        <v>3812</v>
      </c>
      <c r="B230" s="23" t="s">
        <v>483</v>
      </c>
      <c r="C230" s="22" t="s">
        <v>170</v>
      </c>
      <c r="D230" s="23" t="s">
        <v>380</v>
      </c>
      <c r="E230" s="23" t="s">
        <v>380</v>
      </c>
      <c r="F230" s="22" t="s">
        <v>283</v>
      </c>
      <c r="G230" s="22" t="s">
        <v>283</v>
      </c>
      <c r="H230" s="23" t="s">
        <v>381</v>
      </c>
      <c r="I230" s="24" t="s">
        <v>381</v>
      </c>
      <c r="J230" s="2488">
        <v>0</v>
      </c>
      <c r="K230" s="26" t="s">
        <v>81</v>
      </c>
      <c r="L230" s="27">
        <v>0.5</v>
      </c>
      <c r="M230" s="28">
        <v>6</v>
      </c>
      <c r="N230" s="27">
        <f t="shared" si="27"/>
        <v>3</v>
      </c>
      <c r="O230" s="27">
        <f t="shared" si="28"/>
        <v>0.5283630000483901</v>
      </c>
      <c r="P230" s="28">
        <v>7</v>
      </c>
      <c r="Q230" s="28">
        <v>45</v>
      </c>
      <c r="R230" s="29">
        <f t="shared" si="26"/>
        <v>315</v>
      </c>
      <c r="S230" s="30">
        <v>0.22</v>
      </c>
      <c r="T230" s="30">
        <v>0.1</v>
      </c>
      <c r="U230" s="2489"/>
      <c r="V230" s="2490">
        <f t="shared" ref="V230:X231" si="29">V156</f>
        <v>1.5E-3</v>
      </c>
      <c r="W230" s="2491">
        <f t="shared" si="29"/>
        <v>902332</v>
      </c>
      <c r="X230" s="2492">
        <f t="shared" si="29"/>
        <v>0.24661949999999999</v>
      </c>
      <c r="Y230" s="2491"/>
      <c r="Z230" s="2492">
        <v>0</v>
      </c>
      <c r="AA230" s="2491">
        <f>AA156</f>
        <v>917993</v>
      </c>
      <c r="AB230" s="2492">
        <f>AB156</f>
        <v>6</v>
      </c>
      <c r="AC230" s="2491">
        <v>929258</v>
      </c>
      <c r="AD230" s="2492">
        <f t="shared" ref="AD230:AF231" si="30">AD156</f>
        <v>6</v>
      </c>
      <c r="AE230" s="2491">
        <f t="shared" si="30"/>
        <v>929270</v>
      </c>
      <c r="AF230" s="2492">
        <f t="shared" si="30"/>
        <v>6</v>
      </c>
      <c r="AG230" s="2493"/>
      <c r="AH230" s="2494"/>
      <c r="AI230" s="2491"/>
      <c r="AJ230" s="2492"/>
      <c r="AK230" s="2495">
        <v>0</v>
      </c>
      <c r="AL230" s="2496">
        <v>0</v>
      </c>
      <c r="AM230" s="2491">
        <f>AM156</f>
        <v>934139</v>
      </c>
      <c r="AN230" s="2497">
        <v>1.5699999999999999E-2</v>
      </c>
      <c r="AO230" s="2491">
        <f t="shared" ref="AO230:AQ231" si="31">AO156</f>
        <v>902311</v>
      </c>
      <c r="AP230" s="2497">
        <f t="shared" si="31"/>
        <v>1.4285000000000001E-3</v>
      </c>
      <c r="AQ230" s="2491">
        <f t="shared" si="31"/>
        <v>933089</v>
      </c>
      <c r="AR230" s="2497">
        <f>(P230-1)/R230</f>
        <v>1.9047619047619049E-2</v>
      </c>
      <c r="AS230" s="2491">
        <f>AS156</f>
        <v>903360</v>
      </c>
      <c r="AT230" s="2497">
        <f>1/R230</f>
        <v>3.1746031746031746E-3</v>
      </c>
      <c r="AU230" s="2491"/>
      <c r="AV230" s="2497"/>
      <c r="AW230" s="2491"/>
      <c r="AX230" s="2497"/>
      <c r="AZ230" s="2489"/>
      <c r="BA230" s="2498"/>
      <c r="BD230" s="42"/>
      <c r="BI230" s="22"/>
      <c r="BJ230" s="58"/>
      <c r="BL230" s="22"/>
      <c r="BN230" s="44"/>
      <c r="BP230" s="45"/>
      <c r="BQ230" s="46"/>
    </row>
    <row r="231" spans="1:80" ht="15" customHeight="1" x14ac:dyDescent="0.25">
      <c r="A231" s="22">
        <v>3814</v>
      </c>
      <c r="B231" s="23" t="s">
        <v>484</v>
      </c>
      <c r="C231" s="22" t="s">
        <v>170</v>
      </c>
      <c r="D231" s="23" t="s">
        <v>380</v>
      </c>
      <c r="E231" s="23" t="s">
        <v>380</v>
      </c>
      <c r="F231" s="22" t="s">
        <v>333</v>
      </c>
      <c r="G231" s="22" t="s">
        <v>333</v>
      </c>
      <c r="H231" s="23" t="s">
        <v>384</v>
      </c>
      <c r="I231" s="24" t="s">
        <v>384</v>
      </c>
      <c r="J231" s="2499">
        <v>0</v>
      </c>
      <c r="K231" s="26" t="s">
        <v>81</v>
      </c>
      <c r="L231" s="27">
        <v>0.995</v>
      </c>
      <c r="M231" s="28">
        <v>6</v>
      </c>
      <c r="N231" s="27">
        <f t="shared" si="27"/>
        <v>5.97</v>
      </c>
      <c r="O231" s="27">
        <f t="shared" si="28"/>
        <v>1.0514423700962963</v>
      </c>
      <c r="P231" s="28">
        <v>5</v>
      </c>
      <c r="Q231" s="28">
        <v>28</v>
      </c>
      <c r="R231" s="29">
        <f t="shared" si="26"/>
        <v>140</v>
      </c>
      <c r="S231" s="30">
        <v>0.22</v>
      </c>
      <c r="T231" s="30">
        <v>0</v>
      </c>
      <c r="U231" s="2500"/>
      <c r="V231" s="2501">
        <f t="shared" si="29"/>
        <v>2.9849999999999998E-3</v>
      </c>
      <c r="W231" s="2502">
        <f t="shared" si="29"/>
        <v>902332</v>
      </c>
      <c r="X231" s="2503">
        <f t="shared" si="29"/>
        <v>0.49077280499999998</v>
      </c>
      <c r="Y231" s="2502"/>
      <c r="Z231" s="2503"/>
      <c r="AA231" s="2502">
        <f>AA157</f>
        <v>917993</v>
      </c>
      <c r="AB231" s="2503">
        <f>AB157</f>
        <v>6</v>
      </c>
      <c r="AC231" s="2502">
        <v>938125</v>
      </c>
      <c r="AD231" s="2503">
        <f t="shared" si="30"/>
        <v>6</v>
      </c>
      <c r="AE231" s="2502">
        <f t="shared" si="30"/>
        <v>929272</v>
      </c>
      <c r="AF231" s="2503">
        <f t="shared" si="30"/>
        <v>6</v>
      </c>
      <c r="AG231" s="2504"/>
      <c r="AH231" s="2505"/>
      <c r="AI231" s="2502"/>
      <c r="AJ231" s="2503"/>
      <c r="AK231" s="2506">
        <v>0</v>
      </c>
      <c r="AL231" s="2507">
        <v>0</v>
      </c>
      <c r="AM231" s="2502">
        <f>AM157</f>
        <v>922605</v>
      </c>
      <c r="AN231" s="2508">
        <v>1.2E-2</v>
      </c>
      <c r="AO231" s="2502">
        <f t="shared" si="31"/>
        <v>902311</v>
      </c>
      <c r="AP231" s="2508">
        <f t="shared" si="31"/>
        <v>1.4285000000000001E-3</v>
      </c>
      <c r="AQ231" s="2502">
        <f t="shared" si="31"/>
        <v>902302</v>
      </c>
      <c r="AR231" s="2508">
        <f>(P231-1)/R231</f>
        <v>2.8571428571428571E-2</v>
      </c>
      <c r="AS231" s="2502">
        <f>AS157</f>
        <v>903360</v>
      </c>
      <c r="AT231" s="2508">
        <f>1/R231</f>
        <v>7.1428571428571426E-3</v>
      </c>
      <c r="AU231" s="2502"/>
      <c r="AV231" s="2508"/>
      <c r="AW231" s="2502"/>
      <c r="AX231" s="2508"/>
      <c r="AZ231" s="2500"/>
      <c r="BA231" s="2509"/>
      <c r="BD231" s="42"/>
      <c r="BI231" s="22"/>
      <c r="BJ231" s="58"/>
      <c r="BL231" s="22"/>
      <c r="BN231" s="44"/>
      <c r="BP231" s="45"/>
      <c r="BQ231" s="46"/>
    </row>
    <row r="232" spans="1:80" ht="15" customHeight="1" x14ac:dyDescent="0.25">
      <c r="A232" s="22">
        <v>3817</v>
      </c>
      <c r="B232" s="23" t="s">
        <v>485</v>
      </c>
      <c r="C232" s="22" t="s">
        <v>170</v>
      </c>
      <c r="D232" s="23" t="s">
        <v>380</v>
      </c>
      <c r="E232" s="23" t="s">
        <v>380</v>
      </c>
      <c r="F232" s="22" t="s">
        <v>283</v>
      </c>
      <c r="G232" s="22" t="s">
        <v>283</v>
      </c>
      <c r="H232" s="23" t="s">
        <v>381</v>
      </c>
      <c r="I232" s="24" t="s">
        <v>381</v>
      </c>
      <c r="J232" s="2510">
        <v>0</v>
      </c>
      <c r="K232" s="26" t="s">
        <v>81</v>
      </c>
      <c r="L232" s="27">
        <v>0.5</v>
      </c>
      <c r="M232" s="28">
        <v>6</v>
      </c>
      <c r="N232" s="27">
        <f t="shared" si="27"/>
        <v>3</v>
      </c>
      <c r="O232" s="27">
        <f t="shared" si="28"/>
        <v>0.5283630000483901</v>
      </c>
      <c r="P232" s="28">
        <v>7</v>
      </c>
      <c r="Q232" s="28">
        <v>45</v>
      </c>
      <c r="R232" s="29">
        <f t="shared" si="26"/>
        <v>315</v>
      </c>
      <c r="S232" s="30">
        <v>0.22</v>
      </c>
      <c r="T232" s="30">
        <v>0</v>
      </c>
      <c r="U232" s="2511">
        <v>942087</v>
      </c>
      <c r="V232" s="2512">
        <v>9.2378752886836026E-4</v>
      </c>
      <c r="W232" s="2513">
        <v>902332</v>
      </c>
      <c r="X232" s="2514">
        <v>0.16441598152424941</v>
      </c>
      <c r="Y232" s="2513"/>
      <c r="Z232" s="2514">
        <v>0</v>
      </c>
      <c r="AA232" s="2513">
        <v>917993</v>
      </c>
      <c r="AB232" s="2514">
        <v>6</v>
      </c>
      <c r="AC232" s="2513">
        <v>941907</v>
      </c>
      <c r="AD232" s="2514">
        <v>6</v>
      </c>
      <c r="AE232" s="2513">
        <v>929270</v>
      </c>
      <c r="AF232" s="2514">
        <v>6</v>
      </c>
      <c r="AG232" s="2515"/>
      <c r="AH232" s="2516"/>
      <c r="AI232" s="2513"/>
      <c r="AJ232" s="2514"/>
      <c r="AK232" s="2517">
        <v>0</v>
      </c>
      <c r="AL232" s="2518">
        <v>0</v>
      </c>
      <c r="AM232" s="2513">
        <v>934139</v>
      </c>
      <c r="AN232" s="2519">
        <v>1.5699999999999999E-2</v>
      </c>
      <c r="AO232" s="2513">
        <v>902311</v>
      </c>
      <c r="AP232" s="2519">
        <v>1.4285000000000001E-3</v>
      </c>
      <c r="AQ232" s="2513">
        <v>933089</v>
      </c>
      <c r="AR232" s="2519">
        <v>1.9047619047619049E-2</v>
      </c>
      <c r="AS232" s="2513">
        <f>AS158</f>
        <v>903360</v>
      </c>
      <c r="AT232" s="2519">
        <v>3.1746031746031746E-3</v>
      </c>
      <c r="AU232" s="2513"/>
      <c r="AV232" s="2519"/>
      <c r="AW232" s="2513"/>
      <c r="AX232" s="2519"/>
      <c r="AZ232" s="2511"/>
      <c r="BA232" s="2520"/>
      <c r="BD232" s="42"/>
      <c r="BI232" s="22"/>
      <c r="BJ232" s="58"/>
      <c r="BL232" s="22"/>
      <c r="BN232" s="44"/>
      <c r="BP232" s="45"/>
      <c r="BQ232" s="46"/>
    </row>
    <row r="233" spans="1:80" ht="15" customHeight="1" x14ac:dyDescent="0.25">
      <c r="A233" s="22">
        <v>532601</v>
      </c>
      <c r="B233" s="23" t="s">
        <v>486</v>
      </c>
      <c r="C233" s="22" t="s">
        <v>454</v>
      </c>
      <c r="D233" s="23" t="s">
        <v>487</v>
      </c>
      <c r="E233" s="23" t="s">
        <v>487</v>
      </c>
      <c r="F233" s="22" t="s">
        <v>358</v>
      </c>
      <c r="G233" s="22" t="s">
        <v>358</v>
      </c>
      <c r="H233" s="23" t="s">
        <v>488</v>
      </c>
      <c r="I233" s="24" t="s">
        <v>488</v>
      </c>
      <c r="J233" s="2521">
        <v>0.16869000000000001</v>
      </c>
      <c r="K233" s="26" t="s">
        <v>94</v>
      </c>
      <c r="L233" s="27">
        <v>0.47299999999999998</v>
      </c>
      <c r="M233" s="28">
        <v>6</v>
      </c>
      <c r="N233" s="27">
        <f t="shared" si="27"/>
        <v>2.8380000000000001</v>
      </c>
      <c r="O233" s="27">
        <f t="shared" si="28"/>
        <v>0.49983139804577709</v>
      </c>
      <c r="P233" s="28">
        <v>8</v>
      </c>
      <c r="Q233" s="28">
        <v>44</v>
      </c>
      <c r="R233" s="29">
        <f t="shared" si="26"/>
        <v>352</v>
      </c>
      <c r="S233" s="30"/>
      <c r="T233" s="30">
        <v>0</v>
      </c>
      <c r="U233" s="2522"/>
      <c r="V233" s="2523"/>
      <c r="W233" s="2524"/>
      <c r="X233" s="2525"/>
      <c r="Y233" s="2524"/>
      <c r="Z233" s="2525"/>
      <c r="AA233" s="2524"/>
      <c r="AB233" s="2525"/>
      <c r="AC233" s="2524"/>
      <c r="AD233" s="2525"/>
      <c r="AE233" s="2524"/>
      <c r="AF233" s="2525"/>
      <c r="AG233" s="2526"/>
      <c r="AH233" s="2527"/>
      <c r="AI233" s="2524"/>
      <c r="AJ233" s="2525"/>
      <c r="AK233" s="2528">
        <v>0</v>
      </c>
      <c r="AL233" s="2529">
        <v>0</v>
      </c>
      <c r="AM233" s="2524"/>
      <c r="AN233" s="2530"/>
      <c r="AO233" s="2524"/>
      <c r="AP233" s="2530"/>
      <c r="AQ233" s="2524"/>
      <c r="AR233" s="2530"/>
      <c r="AS233" s="2524"/>
      <c r="AT233" s="2530"/>
      <c r="AU233" s="2524"/>
      <c r="AV233" s="2530"/>
      <c r="AW233" s="2524"/>
      <c r="AX233" s="2530"/>
      <c r="AZ233" s="2522"/>
      <c r="BA233" s="2531"/>
      <c r="BD233" s="42"/>
      <c r="BI233" s="22"/>
      <c r="BJ233" s="58"/>
      <c r="BL233" s="22"/>
      <c r="BN233" s="44"/>
      <c r="BP233" s="45"/>
      <c r="BQ233" s="46"/>
    </row>
    <row r="234" spans="1:80" ht="15" customHeight="1" x14ac:dyDescent="0.25">
      <c r="A234" s="22">
        <v>532602</v>
      </c>
      <c r="B234" s="23" t="s">
        <v>489</v>
      </c>
      <c r="C234" s="22" t="s">
        <v>454</v>
      </c>
      <c r="D234" s="23" t="s">
        <v>487</v>
      </c>
      <c r="E234" s="23" t="s">
        <v>487</v>
      </c>
      <c r="F234" s="22" t="s">
        <v>490</v>
      </c>
      <c r="G234" s="22" t="s">
        <v>490</v>
      </c>
      <c r="H234" s="23" t="s">
        <v>491</v>
      </c>
      <c r="I234" s="23" t="s">
        <v>491</v>
      </c>
      <c r="J234" s="2532">
        <v>0.16869000000000001</v>
      </c>
      <c r="K234" s="26" t="s">
        <v>94</v>
      </c>
      <c r="L234" s="27">
        <v>0.35499999999999998</v>
      </c>
      <c r="M234" s="28">
        <v>6</v>
      </c>
      <c r="N234" s="27">
        <f t="shared" si="27"/>
        <v>2.13</v>
      </c>
      <c r="O234" s="27">
        <f t="shared" si="28"/>
        <v>0.37513773003435696</v>
      </c>
      <c r="P234" s="28">
        <v>7</v>
      </c>
      <c r="Q234" s="28">
        <v>48</v>
      </c>
      <c r="R234" s="29">
        <f t="shared" si="26"/>
        <v>336</v>
      </c>
      <c r="S234" s="30"/>
      <c r="T234" s="30">
        <v>0</v>
      </c>
      <c r="U234" s="2533"/>
      <c r="V234" s="2534"/>
      <c r="W234" s="2535"/>
      <c r="X234" s="2536"/>
      <c r="Y234" s="2535"/>
      <c r="Z234" s="2536"/>
      <c r="AA234" s="2535"/>
      <c r="AB234" s="2536"/>
      <c r="AC234" s="2535"/>
      <c r="AD234" s="2536"/>
      <c r="AE234" s="2535"/>
      <c r="AF234" s="2536"/>
      <c r="AG234" s="2537"/>
      <c r="AH234" s="2538"/>
      <c r="AI234" s="2535"/>
      <c r="AJ234" s="2536"/>
      <c r="AK234" s="2539"/>
      <c r="AL234" s="2540"/>
      <c r="AM234" s="2535"/>
      <c r="AN234" s="2541"/>
      <c r="AO234" s="2535"/>
      <c r="AP234" s="2541"/>
      <c r="AQ234" s="2535"/>
      <c r="AR234" s="2541"/>
      <c r="AS234" s="2535"/>
      <c r="AT234" s="2541"/>
      <c r="AU234" s="2535"/>
      <c r="AV234" s="2541"/>
      <c r="AW234" s="2535"/>
      <c r="AX234" s="2541"/>
      <c r="AZ234" s="2533"/>
      <c r="BA234" s="2542"/>
      <c r="BD234" s="42"/>
      <c r="BI234" s="22"/>
      <c r="BJ234" s="58"/>
      <c r="BL234" s="22"/>
      <c r="BN234" s="44"/>
      <c r="BP234" s="45"/>
      <c r="BQ234" s="46"/>
    </row>
    <row r="235" spans="1:80" ht="15" customHeight="1" x14ac:dyDescent="0.25">
      <c r="A235" s="22">
        <v>532603</v>
      </c>
      <c r="B235" s="23" t="s">
        <v>492</v>
      </c>
      <c r="C235" s="22" t="s">
        <v>454</v>
      </c>
      <c r="D235" s="23" t="s">
        <v>487</v>
      </c>
      <c r="E235" s="23" t="s">
        <v>487</v>
      </c>
      <c r="F235" s="22" t="s">
        <v>493</v>
      </c>
      <c r="G235" s="22" t="s">
        <v>493</v>
      </c>
      <c r="H235" s="23" t="s">
        <v>494</v>
      </c>
      <c r="I235" s="23" t="s">
        <v>494</v>
      </c>
      <c r="J235" s="2543">
        <v>0.16869000000000001</v>
      </c>
      <c r="K235" s="26" t="s">
        <v>94</v>
      </c>
      <c r="L235" s="27">
        <v>0.33</v>
      </c>
      <c r="M235" s="28">
        <v>6</v>
      </c>
      <c r="N235" s="27">
        <f t="shared" si="27"/>
        <v>1.98</v>
      </c>
      <c r="O235" s="27">
        <f t="shared" si="28"/>
        <v>0.34871958003193748</v>
      </c>
      <c r="P235" s="28">
        <v>9</v>
      </c>
      <c r="Q235" s="28">
        <v>44</v>
      </c>
      <c r="R235" s="29">
        <f t="shared" si="26"/>
        <v>396</v>
      </c>
      <c r="S235" s="30"/>
      <c r="T235" s="30">
        <v>0</v>
      </c>
      <c r="U235" s="2544"/>
      <c r="V235" s="2545"/>
      <c r="W235" s="2546"/>
      <c r="X235" s="2547"/>
      <c r="Y235" s="2546"/>
      <c r="Z235" s="2547"/>
      <c r="AA235" s="2546"/>
      <c r="AB235" s="2547"/>
      <c r="AC235" s="2546"/>
      <c r="AD235" s="2547"/>
      <c r="AE235" s="2546"/>
      <c r="AF235" s="2547"/>
      <c r="AG235" s="2548"/>
      <c r="AH235" s="2549"/>
      <c r="AI235" s="2546"/>
      <c r="AJ235" s="2547"/>
      <c r="AK235" s="2550"/>
      <c r="AL235" s="2551"/>
      <c r="AM235" s="2546"/>
      <c r="AN235" s="2552"/>
      <c r="AO235" s="2546"/>
      <c r="AP235" s="2552"/>
      <c r="AQ235" s="2546"/>
      <c r="AR235" s="2552"/>
      <c r="AS235" s="2546"/>
      <c r="AT235" s="2552"/>
      <c r="AU235" s="2546"/>
      <c r="AV235" s="2552"/>
      <c r="AW235" s="2546"/>
      <c r="AX235" s="2552"/>
      <c r="AZ235" s="2544"/>
      <c r="BA235" s="2553"/>
      <c r="BD235" s="42"/>
      <c r="BI235" s="22"/>
      <c r="BJ235" s="58"/>
      <c r="BL235" s="22"/>
      <c r="BN235" s="44"/>
      <c r="BP235" s="45"/>
      <c r="BQ235" s="46"/>
    </row>
    <row r="236" spans="1:80" ht="15" customHeight="1" x14ac:dyDescent="0.25">
      <c r="A236" s="22">
        <v>532604</v>
      </c>
      <c r="B236" s="23" t="s">
        <v>495</v>
      </c>
      <c r="C236" s="22" t="s">
        <v>454</v>
      </c>
      <c r="D236" s="23" t="s">
        <v>487</v>
      </c>
      <c r="E236" s="23" t="s">
        <v>487</v>
      </c>
      <c r="F236" s="22" t="s">
        <v>493</v>
      </c>
      <c r="G236" s="22" t="s">
        <v>493</v>
      </c>
      <c r="H236" s="23" t="s">
        <v>494</v>
      </c>
      <c r="I236" s="23" t="s">
        <v>494</v>
      </c>
      <c r="J236" s="2554">
        <v>0.16869000000000001</v>
      </c>
      <c r="K236" s="26" t="s">
        <v>94</v>
      </c>
      <c r="L236" s="27">
        <v>0.33</v>
      </c>
      <c r="M236" s="28">
        <v>6</v>
      </c>
      <c r="N236" s="27">
        <f t="shared" si="27"/>
        <v>1.98</v>
      </c>
      <c r="O236" s="27">
        <f t="shared" si="28"/>
        <v>0.34871958003193748</v>
      </c>
      <c r="P236" s="28">
        <v>9</v>
      </c>
      <c r="Q236" s="28">
        <v>44</v>
      </c>
      <c r="R236" s="29">
        <f t="shared" si="26"/>
        <v>396</v>
      </c>
      <c r="S236" s="30"/>
      <c r="T236" s="30">
        <v>0</v>
      </c>
      <c r="U236" s="2555"/>
      <c r="V236" s="2556"/>
      <c r="W236" s="2557"/>
      <c r="X236" s="2558"/>
      <c r="Y236" s="2557"/>
      <c r="Z236" s="2558"/>
      <c r="AA236" s="2557"/>
      <c r="AB236" s="2558"/>
      <c r="AC236" s="2557"/>
      <c r="AD236" s="2558"/>
      <c r="AE236" s="2557"/>
      <c r="AF236" s="2558"/>
      <c r="AG236" s="2559"/>
      <c r="AH236" s="2560"/>
      <c r="AI236" s="2557"/>
      <c r="AJ236" s="2558"/>
      <c r="AK236" s="2561"/>
      <c r="AL236" s="2562"/>
      <c r="AM236" s="2557"/>
      <c r="AN236" s="2563"/>
      <c r="AO236" s="2557"/>
      <c r="AP236" s="2563"/>
      <c r="AQ236" s="2557"/>
      <c r="AR236" s="2563"/>
      <c r="AS236" s="2557"/>
      <c r="AT236" s="2563"/>
      <c r="AU236" s="2557"/>
      <c r="AV236" s="2563"/>
      <c r="AW236" s="2557"/>
      <c r="AX236" s="2563"/>
      <c r="AZ236" s="2555"/>
      <c r="BA236" s="2564"/>
      <c r="BD236" s="42"/>
      <c r="BI236" s="22"/>
      <c r="BJ236" s="58"/>
      <c r="BL236" s="22"/>
      <c r="BN236" s="44"/>
      <c r="BP236" s="45"/>
      <c r="BQ236" s="46"/>
    </row>
    <row r="237" spans="1:80" ht="15" customHeight="1" x14ac:dyDescent="0.25">
      <c r="A237" s="22">
        <v>3214</v>
      </c>
      <c r="B237" s="23" t="s">
        <v>496</v>
      </c>
      <c r="C237" s="22" t="s">
        <v>170</v>
      </c>
      <c r="D237" s="23" t="s">
        <v>204</v>
      </c>
      <c r="E237" s="23" t="s">
        <v>204</v>
      </c>
      <c r="F237" s="22" t="s">
        <v>358</v>
      </c>
      <c r="G237" s="22" t="s">
        <v>358</v>
      </c>
      <c r="H237" s="23" t="s">
        <v>408</v>
      </c>
      <c r="I237" s="24" t="s">
        <v>408</v>
      </c>
      <c r="J237" s="2565">
        <v>0.1111</v>
      </c>
      <c r="K237" s="26" t="s">
        <v>94</v>
      </c>
      <c r="L237" s="27">
        <v>0.47299999999999998</v>
      </c>
      <c r="M237" s="28">
        <v>6</v>
      </c>
      <c r="N237" s="27">
        <f t="shared" si="27"/>
        <v>2.8380000000000001</v>
      </c>
      <c r="O237" s="27">
        <f t="shared" si="28"/>
        <v>0.49983139804577709</v>
      </c>
      <c r="P237" s="28">
        <v>9</v>
      </c>
      <c r="Q237" s="28">
        <v>45</v>
      </c>
      <c r="R237" s="29">
        <f t="shared" si="26"/>
        <v>405</v>
      </c>
      <c r="S237" s="30">
        <v>0</v>
      </c>
      <c r="T237" s="30">
        <v>0</v>
      </c>
      <c r="U237" s="2566"/>
      <c r="V237" s="2567"/>
      <c r="W237" s="2568"/>
      <c r="X237" s="2569">
        <v>0</v>
      </c>
      <c r="Y237" s="2568"/>
      <c r="Z237" s="2569">
        <v>0</v>
      </c>
      <c r="AA237" s="2568"/>
      <c r="AB237" s="2569"/>
      <c r="AC237" s="2568">
        <v>0</v>
      </c>
      <c r="AD237" s="2569">
        <v>0</v>
      </c>
      <c r="AE237" s="2568">
        <v>0</v>
      </c>
      <c r="AF237" s="2569">
        <v>0</v>
      </c>
      <c r="AG237" s="2570"/>
      <c r="AH237" s="2571"/>
      <c r="AI237" s="2568">
        <v>0</v>
      </c>
      <c r="AJ237" s="2569">
        <v>0</v>
      </c>
      <c r="AK237" s="2572">
        <v>0</v>
      </c>
      <c r="AL237" s="2573">
        <v>0</v>
      </c>
      <c r="AM237" s="2568">
        <v>0</v>
      </c>
      <c r="AN237" s="2574">
        <v>0</v>
      </c>
      <c r="AO237" s="2568">
        <v>0</v>
      </c>
      <c r="AP237" s="2574">
        <v>0</v>
      </c>
      <c r="AQ237" s="2568">
        <v>0</v>
      </c>
      <c r="AR237" s="2574">
        <v>0</v>
      </c>
      <c r="AS237" s="2568">
        <v>0</v>
      </c>
      <c r="AT237" s="2574">
        <v>0</v>
      </c>
      <c r="AU237" s="2568">
        <v>0</v>
      </c>
      <c r="AV237" s="2574">
        <v>0</v>
      </c>
      <c r="AW237" s="2568">
        <v>0</v>
      </c>
      <c r="AX237" s="2574">
        <v>0</v>
      </c>
      <c r="AZ237" s="2566"/>
      <c r="BA237" s="2575"/>
      <c r="BD237" s="42"/>
      <c r="BI237" s="22"/>
      <c r="BJ237" s="58"/>
      <c r="BL237" s="22"/>
      <c r="BN237" s="44"/>
      <c r="BP237" s="45"/>
      <c r="BQ237" s="46"/>
    </row>
    <row r="238" spans="1:80" ht="15" customHeight="1" x14ac:dyDescent="0.25">
      <c r="A238" s="22">
        <v>1147</v>
      </c>
      <c r="B238" s="23" t="s">
        <v>497</v>
      </c>
      <c r="C238" s="22" t="s">
        <v>76</v>
      </c>
      <c r="D238" s="23" t="s">
        <v>77</v>
      </c>
      <c r="E238" s="23" t="s">
        <v>249</v>
      </c>
      <c r="F238" s="22" t="s">
        <v>358</v>
      </c>
      <c r="G238" s="22" t="s">
        <v>358</v>
      </c>
      <c r="H238" s="23" t="s">
        <v>408</v>
      </c>
      <c r="I238" s="24" t="s">
        <v>408</v>
      </c>
      <c r="J238" s="2576">
        <v>8.6956519999999995E-2</v>
      </c>
      <c r="K238" s="26" t="s">
        <v>94</v>
      </c>
      <c r="L238" s="27">
        <v>0.47299999999999998</v>
      </c>
      <c r="M238" s="28">
        <v>6</v>
      </c>
      <c r="N238" s="27">
        <f t="shared" si="27"/>
        <v>2.8380000000000001</v>
      </c>
      <c r="O238" s="27">
        <f t="shared" si="28"/>
        <v>0.49983139804577709</v>
      </c>
      <c r="P238" s="28">
        <v>9</v>
      </c>
      <c r="Q238" s="28">
        <v>45</v>
      </c>
      <c r="R238" s="29">
        <f t="shared" si="26"/>
        <v>405</v>
      </c>
      <c r="S238" s="30">
        <v>0.23499999999999999</v>
      </c>
      <c r="T238" s="30">
        <v>0.05</v>
      </c>
      <c r="U238" s="2577"/>
      <c r="V238" s="2578"/>
      <c r="W238" s="2579"/>
      <c r="X238" s="2580">
        <v>0</v>
      </c>
      <c r="Y238" s="2579"/>
      <c r="Z238" s="2580">
        <v>0</v>
      </c>
      <c r="AA238" s="2579"/>
      <c r="AB238" s="2580"/>
      <c r="AC238" s="2579">
        <v>0</v>
      </c>
      <c r="AD238" s="2580">
        <v>0</v>
      </c>
      <c r="AE238" s="2579">
        <v>0</v>
      </c>
      <c r="AF238" s="2580">
        <v>0</v>
      </c>
      <c r="AG238" s="2581"/>
      <c r="AH238" s="2582"/>
      <c r="AI238" s="2579">
        <v>0</v>
      </c>
      <c r="AJ238" s="2580">
        <v>0</v>
      </c>
      <c r="AK238" s="2583">
        <v>0</v>
      </c>
      <c r="AL238" s="2584">
        <v>0</v>
      </c>
      <c r="AM238" s="2579">
        <v>0</v>
      </c>
      <c r="AN238" s="2585">
        <v>0</v>
      </c>
      <c r="AO238" s="2579">
        <v>0</v>
      </c>
      <c r="AP238" s="2585">
        <v>0</v>
      </c>
      <c r="AQ238" s="2579">
        <v>0</v>
      </c>
      <c r="AR238" s="2585">
        <v>0</v>
      </c>
      <c r="AS238" s="2579">
        <v>0</v>
      </c>
      <c r="AT238" s="2585">
        <v>0</v>
      </c>
      <c r="AU238" s="2579">
        <v>0</v>
      </c>
      <c r="AV238" s="2585">
        <v>0</v>
      </c>
      <c r="AW238" s="2579">
        <v>0</v>
      </c>
      <c r="AX238" s="2585">
        <v>0</v>
      </c>
      <c r="AZ238" s="2577"/>
      <c r="BA238" s="2586"/>
      <c r="BD238" s="42"/>
      <c r="BI238" s="22"/>
      <c r="BJ238" s="58"/>
      <c r="BL238" s="22"/>
      <c r="BN238" s="44"/>
      <c r="BP238" s="45"/>
      <c r="BQ238" s="46"/>
    </row>
    <row r="239" spans="1:80" ht="15" customHeight="1" x14ac:dyDescent="0.25">
      <c r="A239" s="22">
        <v>2318</v>
      </c>
      <c r="B239" s="23" t="s">
        <v>498</v>
      </c>
      <c r="C239" s="22" t="s">
        <v>76</v>
      </c>
      <c r="D239" s="23" t="s">
        <v>138</v>
      </c>
      <c r="E239" s="23" t="s">
        <v>138</v>
      </c>
      <c r="F239" s="22" t="s">
        <v>91</v>
      </c>
      <c r="G239" s="22" t="s">
        <v>91</v>
      </c>
      <c r="H239" s="23" t="s">
        <v>93</v>
      </c>
      <c r="I239" s="24" t="s">
        <v>93</v>
      </c>
      <c r="J239" s="2587">
        <v>8.6956519999999995E-2</v>
      </c>
      <c r="K239" s="26" t="s">
        <v>94</v>
      </c>
      <c r="L239" s="27">
        <v>0.35399999999999998</v>
      </c>
      <c r="M239" s="28">
        <v>6</v>
      </c>
      <c r="N239" s="27">
        <f t="shared" si="27"/>
        <v>2.1239999999999997</v>
      </c>
      <c r="O239" s="27">
        <f t="shared" si="28"/>
        <v>0.37408100403426015</v>
      </c>
      <c r="P239" s="28">
        <v>11</v>
      </c>
      <c r="Q239" s="28">
        <v>45</v>
      </c>
      <c r="R239" s="29">
        <f t="shared" si="26"/>
        <v>495</v>
      </c>
      <c r="S239" s="30">
        <v>0.20250000000000001</v>
      </c>
      <c r="T239" s="30">
        <v>0.05</v>
      </c>
      <c r="U239" s="2588">
        <v>0</v>
      </c>
      <c r="V239" s="2589">
        <v>0</v>
      </c>
      <c r="W239" s="2590">
        <v>0</v>
      </c>
      <c r="X239" s="2591">
        <v>0</v>
      </c>
      <c r="Y239" s="2590">
        <v>0</v>
      </c>
      <c r="Z239" s="2591">
        <v>0</v>
      </c>
      <c r="AA239" s="2590"/>
      <c r="AB239" s="2591">
        <v>0</v>
      </c>
      <c r="AC239" s="2590">
        <v>0</v>
      </c>
      <c r="AD239" s="2591">
        <v>0</v>
      </c>
      <c r="AE239" s="2590">
        <v>0</v>
      </c>
      <c r="AF239" s="2591">
        <v>0</v>
      </c>
      <c r="AG239" s="2592"/>
      <c r="AH239" s="2593"/>
      <c r="AI239" s="2590">
        <v>0</v>
      </c>
      <c r="AJ239" s="2591">
        <v>0</v>
      </c>
      <c r="AK239" s="2594">
        <v>0</v>
      </c>
      <c r="AL239" s="2595"/>
      <c r="AM239" s="2590">
        <v>0</v>
      </c>
      <c r="AN239" s="2596">
        <v>0</v>
      </c>
      <c r="AO239" s="2590">
        <v>0</v>
      </c>
      <c r="AP239" s="2596">
        <v>0</v>
      </c>
      <c r="AQ239" s="2590">
        <v>0</v>
      </c>
      <c r="AR239" s="2596">
        <v>0</v>
      </c>
      <c r="AS239" s="2590">
        <v>0</v>
      </c>
      <c r="AT239" s="2596">
        <v>0</v>
      </c>
      <c r="AU239" s="2590">
        <v>0</v>
      </c>
      <c r="AV239" s="2596">
        <v>0</v>
      </c>
      <c r="AW239" s="2590">
        <v>0</v>
      </c>
      <c r="AX239" s="2596">
        <v>0</v>
      </c>
      <c r="AZ239" s="2588"/>
      <c r="BA239" s="2597"/>
      <c r="BD239" s="42"/>
      <c r="BI239" s="22" t="s">
        <v>143</v>
      </c>
      <c r="BJ239" s="58">
        <v>2035.3</v>
      </c>
      <c r="BL239" s="22" t="s">
        <v>102</v>
      </c>
      <c r="BN239" s="44"/>
      <c r="BP239" s="45"/>
      <c r="BQ239" s="46"/>
      <c r="BZ239">
        <v>0</v>
      </c>
      <c r="CA239">
        <v>0</v>
      </c>
      <c r="CB239" t="b">
        <f>+BZ239=CA239</f>
        <v>1</v>
      </c>
    </row>
    <row r="240" spans="1:80" ht="15" customHeight="1" x14ac:dyDescent="0.25">
      <c r="A240" s="22">
        <v>1734</v>
      </c>
      <c r="B240" s="23" t="s">
        <v>499</v>
      </c>
      <c r="C240" s="22" t="s">
        <v>170</v>
      </c>
      <c r="D240" s="23" t="s">
        <v>300</v>
      </c>
      <c r="E240" s="23" t="s">
        <v>136</v>
      </c>
      <c r="F240" s="22" t="s">
        <v>123</v>
      </c>
      <c r="G240" s="22" t="s">
        <v>123</v>
      </c>
      <c r="H240" s="23" t="s">
        <v>313</v>
      </c>
      <c r="I240" s="24" t="s">
        <v>313</v>
      </c>
      <c r="J240" s="2598">
        <v>0</v>
      </c>
      <c r="K240" s="26" t="s">
        <v>81</v>
      </c>
      <c r="L240" s="27">
        <v>3</v>
      </c>
      <c r="M240" s="28">
        <v>4</v>
      </c>
      <c r="N240" s="27">
        <f t="shared" si="27"/>
        <v>12</v>
      </c>
      <c r="O240" s="27">
        <f t="shared" si="28"/>
        <v>2.1134520001935604</v>
      </c>
      <c r="P240" s="2599"/>
      <c r="Q240" s="2599"/>
      <c r="R240" s="29">
        <f>P240*Q240</f>
        <v>0</v>
      </c>
      <c r="S240" s="30">
        <v>2.5000000000000001E-2</v>
      </c>
      <c r="T240" s="30">
        <v>0</v>
      </c>
      <c r="U240" s="2600">
        <v>939153</v>
      </c>
      <c r="V240" s="2601">
        <f>+(V99/6)*4</f>
        <v>6.000000000000001E-3</v>
      </c>
      <c r="W240" s="2602"/>
      <c r="X240" s="2603">
        <f>+(X99/6)*4</f>
        <v>0</v>
      </c>
      <c r="Y240" s="2602"/>
      <c r="Z240" s="2603">
        <f>+(Z99/6)*4</f>
        <v>0</v>
      </c>
      <c r="AA240" s="2602">
        <v>938972</v>
      </c>
      <c r="AB240" s="2603">
        <f>+(AB99/6)*4</f>
        <v>4</v>
      </c>
      <c r="AC240" s="2602">
        <v>936975</v>
      </c>
      <c r="AD240" s="2603">
        <f>+(AD99/6)*4</f>
        <v>4</v>
      </c>
      <c r="AE240" s="2602">
        <v>938165</v>
      </c>
      <c r="AF240" s="2603">
        <f>+(AF99/6)*4</f>
        <v>4</v>
      </c>
      <c r="AG240" s="2604"/>
      <c r="AH240" s="2605"/>
      <c r="AI240" s="2602">
        <v>0</v>
      </c>
      <c r="AJ240" s="2603">
        <f>+(AJ99/6)*4</f>
        <v>0</v>
      </c>
      <c r="AK240" s="2606">
        <v>0</v>
      </c>
      <c r="AL240" s="2607">
        <f>+(AL99/6)*4</f>
        <v>0</v>
      </c>
      <c r="AM240" s="2602">
        <v>902310</v>
      </c>
      <c r="AN240" s="2608">
        <f>+(AN99/6)*4</f>
        <v>2.2266666666666667E-2</v>
      </c>
      <c r="AO240" s="2602">
        <v>902311</v>
      </c>
      <c r="AP240" s="2608">
        <f>+(AP99/6)*4</f>
        <v>2.9099999999999998E-3</v>
      </c>
      <c r="AQ240" s="2602">
        <v>933089</v>
      </c>
      <c r="AR240" s="2608">
        <f>+(AR99/6)*4</f>
        <v>3.3333333333333333E-2</v>
      </c>
      <c r="AS240" s="2602">
        <v>903360</v>
      </c>
      <c r="AT240" s="2608">
        <f>+(AT99/6)*4</f>
        <v>1.1111111111111112E-2</v>
      </c>
      <c r="AU240" s="2602"/>
      <c r="AV240" s="2608">
        <f>+(AV99/6)*4</f>
        <v>0</v>
      </c>
      <c r="AW240" s="2602"/>
      <c r="AX240" s="2608">
        <f>+(AX99/6)*4</f>
        <v>0</v>
      </c>
      <c r="AZ240" s="2602">
        <f>+(AZ99)</f>
        <v>936704</v>
      </c>
      <c r="BA240" s="2608">
        <f>+(BA99/6)*4</f>
        <v>2.3007239606082516E-2</v>
      </c>
      <c r="BB240" s="42"/>
      <c r="BG240" s="22"/>
      <c r="BH240" s="58"/>
      <c r="BJ240" s="22"/>
      <c r="BL240" s="44"/>
      <c r="BM240" s="3"/>
      <c r="BN240" s="45"/>
      <c r="BO240" s="46"/>
    </row>
    <row r="241" spans="1:80" ht="15" customHeight="1" x14ac:dyDescent="0.25">
      <c r="A241" s="22">
        <v>1744</v>
      </c>
      <c r="B241" s="23" t="s">
        <v>500</v>
      </c>
      <c r="C241" s="22" t="s">
        <v>170</v>
      </c>
      <c r="D241" s="23" t="s">
        <v>300</v>
      </c>
      <c r="E241" s="23" t="s">
        <v>136</v>
      </c>
      <c r="F241" s="22" t="s">
        <v>255</v>
      </c>
      <c r="G241" s="22" t="s">
        <v>255</v>
      </c>
      <c r="H241" s="23" t="s">
        <v>303</v>
      </c>
      <c r="I241" s="24" t="s">
        <v>303</v>
      </c>
      <c r="J241" s="2598">
        <v>0</v>
      </c>
      <c r="K241" s="26" t="s">
        <v>81</v>
      </c>
      <c r="L241" s="27">
        <v>1.5</v>
      </c>
      <c r="M241" s="28">
        <v>4</v>
      </c>
      <c r="N241" s="27">
        <f t="shared" si="27"/>
        <v>6</v>
      </c>
      <c r="O241" s="27">
        <f t="shared" si="28"/>
        <v>1.0567260000967802</v>
      </c>
      <c r="P241" s="2599"/>
      <c r="Q241" s="2599"/>
      <c r="R241" s="29">
        <f>P241*Q241</f>
        <v>0</v>
      </c>
      <c r="S241" s="30">
        <v>2.5000000000000001E-2</v>
      </c>
      <c r="T241" s="30">
        <v>0</v>
      </c>
      <c r="U241" s="2600">
        <f>+U100</f>
        <v>939153</v>
      </c>
      <c r="V241" s="2601">
        <f>+(V100/6)*4</f>
        <v>3.0000000000000005E-3</v>
      </c>
      <c r="W241" s="2602"/>
      <c r="X241" s="2603"/>
      <c r="Y241" s="2602">
        <f>+Y100</f>
        <v>0</v>
      </c>
      <c r="Z241" s="2603">
        <f>+(Z100/6)*4</f>
        <v>0</v>
      </c>
      <c r="AA241" s="2602">
        <f>+AA100</f>
        <v>938972</v>
      </c>
      <c r="AB241" s="2603">
        <f>+(AB100/6)*4</f>
        <v>4</v>
      </c>
      <c r="AC241" s="2602">
        <f>+AC100</f>
        <v>936446</v>
      </c>
      <c r="AD241" s="2603">
        <f>+(AD100/6)*4</f>
        <v>4</v>
      </c>
      <c r="AE241" s="2602">
        <f>+AE100</f>
        <v>938979</v>
      </c>
      <c r="AF241" s="2603">
        <f>+(AF100/6)*4</f>
        <v>4</v>
      </c>
      <c r="AG241" s="2604"/>
      <c r="AH241" s="2605"/>
      <c r="AI241" s="2602">
        <f>+AI100</f>
        <v>0</v>
      </c>
      <c r="AJ241" s="2603">
        <f>+(AJ100/6)*4</f>
        <v>0</v>
      </c>
      <c r="AK241" s="2606">
        <v>0</v>
      </c>
      <c r="AL241" s="2607">
        <f>+(AL100/6)*4</f>
        <v>0</v>
      </c>
      <c r="AM241" s="2602">
        <f>+AM100</f>
        <v>932317</v>
      </c>
      <c r="AN241" s="2608">
        <f>+(AN100/6)*4</f>
        <v>1.4666666666666666E-2</v>
      </c>
      <c r="AO241" s="2602">
        <f>+AO100</f>
        <v>902311</v>
      </c>
      <c r="AP241" s="2608">
        <f>+(AP100/6)*4</f>
        <v>2.7777777777777779E-3</v>
      </c>
      <c r="AQ241" s="2602">
        <f>+AQ100</f>
        <v>933089</v>
      </c>
      <c r="AR241" s="2608">
        <f>+(AR100/6)*4</f>
        <v>1.7857142857142856E-2</v>
      </c>
      <c r="AS241" s="2602">
        <f>+AS100</f>
        <v>903360</v>
      </c>
      <c r="AT241" s="2608">
        <f>+(AT100/6)*4</f>
        <v>5.9523809523809521E-3</v>
      </c>
      <c r="AU241" s="2602">
        <f>+AU100</f>
        <v>0</v>
      </c>
      <c r="AV241" s="2608">
        <f>+(AV100/6)*4</f>
        <v>0</v>
      </c>
      <c r="AW241" s="2602">
        <f>+AW100</f>
        <v>0</v>
      </c>
      <c r="AX241" s="2608">
        <f>+(AX100/6)*4</f>
        <v>0</v>
      </c>
      <c r="AZ241" s="2602">
        <f>+(AZ100)</f>
        <v>936704</v>
      </c>
      <c r="BA241" s="2608">
        <f>+(BA100/6)*4</f>
        <v>2.3007239606082516E-2</v>
      </c>
      <c r="BB241" s="42"/>
      <c r="BG241" s="22"/>
      <c r="BH241" s="58"/>
      <c r="BJ241" s="22"/>
      <c r="BL241" s="44"/>
      <c r="BM241" s="3"/>
      <c r="BN241" s="45"/>
      <c r="BO241" s="46"/>
    </row>
    <row r="242" spans="1:80" ht="15" customHeight="1" x14ac:dyDescent="0.25">
      <c r="A242" s="22">
        <v>3518</v>
      </c>
      <c r="B242" s="23" t="s">
        <v>501</v>
      </c>
      <c r="C242" s="22" t="s">
        <v>76</v>
      </c>
      <c r="D242" s="23" t="s">
        <v>273</v>
      </c>
      <c r="E242" s="23" t="s">
        <v>431</v>
      </c>
      <c r="F242" s="22" t="s">
        <v>91</v>
      </c>
      <c r="G242" s="22" t="s">
        <v>91</v>
      </c>
      <c r="H242" s="23" t="s">
        <v>93</v>
      </c>
      <c r="I242" s="24" t="s">
        <v>93</v>
      </c>
      <c r="J242" s="2609">
        <v>4.1666670000000003E-2</v>
      </c>
      <c r="K242" s="26" t="s">
        <v>94</v>
      </c>
      <c r="L242" s="27">
        <v>0.35399999999999998</v>
      </c>
      <c r="M242" s="28">
        <v>6</v>
      </c>
      <c r="N242" s="27">
        <f t="shared" si="27"/>
        <v>2.1239999999999997</v>
      </c>
      <c r="O242" s="27">
        <f t="shared" si="28"/>
        <v>0.37408100403426015</v>
      </c>
      <c r="P242" s="28">
        <v>11</v>
      </c>
      <c r="Q242" s="28">
        <v>45</v>
      </c>
      <c r="R242" s="29">
        <f t="shared" ref="R242:R246" si="32">P242*Q242</f>
        <v>495</v>
      </c>
      <c r="S242" s="30">
        <v>0.23499999999999999</v>
      </c>
      <c r="T242" s="30">
        <v>0.05</v>
      </c>
      <c r="U242" s="2610">
        <v>0</v>
      </c>
      <c r="V242" s="2611">
        <v>0</v>
      </c>
      <c r="W242" s="2612">
        <v>0</v>
      </c>
      <c r="X242" s="2613">
        <v>0</v>
      </c>
      <c r="Y242" s="2612">
        <v>0</v>
      </c>
      <c r="Z242" s="2613">
        <v>0</v>
      </c>
      <c r="AA242" s="2612"/>
      <c r="AB242" s="2613">
        <v>0</v>
      </c>
      <c r="AC242" s="2612">
        <v>0</v>
      </c>
      <c r="AD242" s="2613">
        <v>0</v>
      </c>
      <c r="AE242" s="2612">
        <v>0</v>
      </c>
      <c r="AF242" s="2613">
        <v>0</v>
      </c>
      <c r="AG242" s="2614"/>
      <c r="AH242" s="2615"/>
      <c r="AI242" s="2612">
        <v>0</v>
      </c>
      <c r="AJ242" s="2613">
        <v>0</v>
      </c>
      <c r="AK242" s="2616">
        <v>0</v>
      </c>
      <c r="AL242" s="2617">
        <v>0</v>
      </c>
      <c r="AM242" s="2612">
        <v>0</v>
      </c>
      <c r="AN242" s="2618">
        <v>0</v>
      </c>
      <c r="AO242" s="2612">
        <v>0</v>
      </c>
      <c r="AP242" s="2618">
        <v>0</v>
      </c>
      <c r="AQ242" s="2612">
        <v>0</v>
      </c>
      <c r="AR242" s="2618">
        <v>0</v>
      </c>
      <c r="AS242" s="2612">
        <v>0</v>
      </c>
      <c r="AT242" s="2618">
        <v>0</v>
      </c>
      <c r="AU242" s="2612">
        <v>0</v>
      </c>
      <c r="AV242" s="2618">
        <v>0</v>
      </c>
      <c r="AW242" s="2612">
        <v>0</v>
      </c>
      <c r="AX242" s="2618">
        <v>0</v>
      </c>
      <c r="AZ242" s="2610"/>
      <c r="BA242" s="2619"/>
      <c r="BD242" s="42"/>
      <c r="BI242" s="22"/>
      <c r="BJ242" s="58"/>
      <c r="BL242" s="22" t="s">
        <v>118</v>
      </c>
      <c r="BN242" s="44"/>
      <c r="BP242" s="45"/>
      <c r="BQ242" s="46"/>
      <c r="BZ242">
        <v>0</v>
      </c>
      <c r="CA242">
        <v>0</v>
      </c>
      <c r="CB242" t="b">
        <f t="shared" ref="CB242" si="33">+BZ242=CA242</f>
        <v>1</v>
      </c>
    </row>
    <row r="243" spans="1:80" ht="15" customHeight="1" x14ac:dyDescent="0.25">
      <c r="A243" s="22">
        <v>72688</v>
      </c>
      <c r="B243" s="23" t="s">
        <v>502</v>
      </c>
      <c r="C243" s="22" t="s">
        <v>170</v>
      </c>
      <c r="D243" s="23" t="s">
        <v>380</v>
      </c>
      <c r="E243" s="23" t="s">
        <v>380</v>
      </c>
      <c r="F243" s="22" t="s">
        <v>333</v>
      </c>
      <c r="G243" s="22" t="s">
        <v>333</v>
      </c>
      <c r="H243" s="23" t="s">
        <v>384</v>
      </c>
      <c r="I243" s="24" t="s">
        <v>384</v>
      </c>
      <c r="J243" s="2620">
        <v>0</v>
      </c>
      <c r="K243" s="26" t="s">
        <v>81</v>
      </c>
      <c r="L243" s="27">
        <v>0.995</v>
      </c>
      <c r="M243" s="28">
        <v>6</v>
      </c>
      <c r="N243" s="27">
        <f t="shared" si="27"/>
        <v>5.97</v>
      </c>
      <c r="O243" s="27">
        <f t="shared" si="28"/>
        <v>1.0514423700962963</v>
      </c>
      <c r="P243" s="28">
        <v>5</v>
      </c>
      <c r="Q243" s="28">
        <v>28</v>
      </c>
      <c r="R243" s="29">
        <f t="shared" si="32"/>
        <v>140</v>
      </c>
      <c r="S243" s="30">
        <v>0.22</v>
      </c>
      <c r="T243" s="30">
        <v>0.1</v>
      </c>
      <c r="U243" s="2621">
        <v>929227</v>
      </c>
      <c r="V243" s="2622">
        <v>2.9849999999999998E-3</v>
      </c>
      <c r="W243" s="2623">
        <v>902332</v>
      </c>
      <c r="X243" s="2624">
        <v>0.49077280499999998</v>
      </c>
      <c r="Y243" s="2623">
        <v>0</v>
      </c>
      <c r="Z243" s="2624">
        <v>0</v>
      </c>
      <c r="AA243" s="2623">
        <v>917993</v>
      </c>
      <c r="AB243" s="2624">
        <v>6</v>
      </c>
      <c r="AC243" s="2623">
        <v>929262</v>
      </c>
      <c r="AD243" s="2624">
        <v>6</v>
      </c>
      <c r="AE243" s="2623">
        <v>929272</v>
      </c>
      <c r="AF243" s="2624">
        <v>6</v>
      </c>
      <c r="AG243" s="2625"/>
      <c r="AH243" s="2626"/>
      <c r="AI243" s="2623">
        <v>0</v>
      </c>
      <c r="AJ243" s="2624">
        <v>0</v>
      </c>
      <c r="AK243" s="2627">
        <v>0</v>
      </c>
      <c r="AL243" s="2628">
        <v>0</v>
      </c>
      <c r="AM243" s="2623">
        <v>922605</v>
      </c>
      <c r="AN243" s="2629">
        <v>0.02</v>
      </c>
      <c r="AO243" s="2623">
        <v>902311</v>
      </c>
      <c r="AP243" s="2630">
        <v>1.4285000000000001E-3</v>
      </c>
      <c r="AQ243" s="2623">
        <v>902302</v>
      </c>
      <c r="AR243" s="2630">
        <v>2.8571428571428571E-2</v>
      </c>
      <c r="AS243" s="2623">
        <f t="shared" ref="AS243" si="34">IF(K243="P",903360,0)</f>
        <v>903360</v>
      </c>
      <c r="AT243" s="2630">
        <f t="shared" ref="AT243" si="35">1/R243</f>
        <v>7.1428571428571426E-3</v>
      </c>
      <c r="AU243" s="2623">
        <v>0</v>
      </c>
      <c r="AV243" s="2630">
        <v>0</v>
      </c>
      <c r="AW243" s="2623">
        <v>0</v>
      </c>
      <c r="AX243" s="2630">
        <v>0</v>
      </c>
      <c r="AZ243" s="2621"/>
      <c r="BA243" s="2631"/>
      <c r="BD243" s="42"/>
      <c r="BI243" s="22"/>
      <c r="BJ243" s="58"/>
      <c r="BL243" s="22" t="s">
        <v>283</v>
      </c>
      <c r="BN243" s="44"/>
      <c r="BP243" s="45"/>
      <c r="BQ243" s="46"/>
    </row>
    <row r="244" spans="1:80" ht="15" customHeight="1" x14ac:dyDescent="0.25">
      <c r="A244" s="22">
        <v>72648</v>
      </c>
      <c r="B244" s="23" t="s">
        <v>503</v>
      </c>
      <c r="C244" s="22" t="s">
        <v>170</v>
      </c>
      <c r="D244" s="23" t="s">
        <v>380</v>
      </c>
      <c r="E244" s="23" t="s">
        <v>380</v>
      </c>
      <c r="F244" s="22" t="s">
        <v>333</v>
      </c>
      <c r="G244" s="22" t="s">
        <v>333</v>
      </c>
      <c r="H244" s="23" t="s">
        <v>384</v>
      </c>
      <c r="I244" s="24" t="s">
        <v>384</v>
      </c>
      <c r="J244" s="2632">
        <v>0</v>
      </c>
      <c r="K244" s="26" t="s">
        <v>81</v>
      </c>
      <c r="L244" s="27">
        <v>0.995</v>
      </c>
      <c r="M244" s="28">
        <v>6</v>
      </c>
      <c r="N244" s="27">
        <f t="shared" si="27"/>
        <v>5.97</v>
      </c>
      <c r="O244" s="27">
        <f t="shared" si="28"/>
        <v>1.0514423700962963</v>
      </c>
      <c r="P244" s="28">
        <v>5</v>
      </c>
      <c r="Q244" s="28">
        <v>28</v>
      </c>
      <c r="R244" s="29">
        <f t="shared" si="32"/>
        <v>140</v>
      </c>
      <c r="S244" s="30">
        <v>0.22</v>
      </c>
      <c r="T244" s="30">
        <v>0.1</v>
      </c>
      <c r="U244" s="2633">
        <v>929228</v>
      </c>
      <c r="V244" s="2634">
        <v>2.9849999999999998E-3</v>
      </c>
      <c r="W244" s="2635">
        <v>902332</v>
      </c>
      <c r="X244" s="2636">
        <v>0.49077280499999998</v>
      </c>
      <c r="Y244" s="2635">
        <v>0</v>
      </c>
      <c r="Z244" s="2636">
        <v>0</v>
      </c>
      <c r="AA244" s="2635">
        <v>917993</v>
      </c>
      <c r="AB244" s="2636">
        <v>6</v>
      </c>
      <c r="AC244" s="2635">
        <v>938125</v>
      </c>
      <c r="AD244" s="2636">
        <v>6</v>
      </c>
      <c r="AE244" s="2635">
        <v>929272</v>
      </c>
      <c r="AF244" s="2636">
        <v>6</v>
      </c>
      <c r="AG244" s="2637"/>
      <c r="AH244" s="2638"/>
      <c r="AI244" s="2635">
        <v>0</v>
      </c>
      <c r="AJ244" s="2636">
        <v>0</v>
      </c>
      <c r="AK244" s="2639">
        <v>0</v>
      </c>
      <c r="AL244" s="2640">
        <v>0</v>
      </c>
      <c r="AM244" s="2635">
        <v>922605</v>
      </c>
      <c r="AN244" s="2641">
        <v>0.02</v>
      </c>
      <c r="AO244" s="2635">
        <v>902311</v>
      </c>
      <c r="AP244" s="2642">
        <v>1.4285000000000001E-3</v>
      </c>
      <c r="AQ244" s="2635">
        <v>902302</v>
      </c>
      <c r="AR244" s="2642">
        <v>2.8571428571428571E-2</v>
      </c>
      <c r="AS244" s="2635">
        <f>IF(K244="P",903360,0)</f>
        <v>903360</v>
      </c>
      <c r="AT244" s="2642">
        <f>1/R244</f>
        <v>7.1428571428571426E-3</v>
      </c>
      <c r="AU244" s="2635">
        <v>0</v>
      </c>
      <c r="AV244" s="2642">
        <v>0</v>
      </c>
      <c r="AW244" s="2635">
        <v>0</v>
      </c>
      <c r="AX244" s="2642">
        <v>0</v>
      </c>
      <c r="AZ244" s="2633"/>
      <c r="BA244" s="2643"/>
      <c r="BD244" s="42"/>
      <c r="BI244" s="22"/>
      <c r="BJ244" s="58"/>
      <c r="BL244" s="22" t="s">
        <v>358</v>
      </c>
      <c r="BN244" s="44"/>
      <c r="BP244" s="45"/>
      <c r="BQ244" s="46"/>
    </row>
    <row r="245" spans="1:80" ht="15" customHeight="1" x14ac:dyDescent="0.25">
      <c r="A245" s="22">
        <v>72678</v>
      </c>
      <c r="B245" s="23" t="s">
        <v>504</v>
      </c>
      <c r="C245" s="22" t="s">
        <v>170</v>
      </c>
      <c r="D245" s="23" t="s">
        <v>380</v>
      </c>
      <c r="E245" s="23" t="s">
        <v>380</v>
      </c>
      <c r="F245" s="22" t="s">
        <v>333</v>
      </c>
      <c r="G245" s="22" t="s">
        <v>333</v>
      </c>
      <c r="H245" s="23" t="s">
        <v>384</v>
      </c>
      <c r="I245" s="24" t="s">
        <v>384</v>
      </c>
      <c r="J245" s="2644">
        <v>0</v>
      </c>
      <c r="K245" s="26" t="s">
        <v>81</v>
      </c>
      <c r="L245" s="27">
        <v>0.995</v>
      </c>
      <c r="M245" s="28">
        <v>6</v>
      </c>
      <c r="N245" s="27">
        <f t="shared" si="27"/>
        <v>5.97</v>
      </c>
      <c r="O245" s="27">
        <f t="shared" si="28"/>
        <v>1.0514423700962963</v>
      </c>
      <c r="P245" s="28">
        <v>5</v>
      </c>
      <c r="Q245" s="28">
        <v>28</v>
      </c>
      <c r="R245" s="29">
        <f t="shared" si="32"/>
        <v>140</v>
      </c>
      <c r="S245" s="30">
        <v>0.22</v>
      </c>
      <c r="T245" s="30">
        <v>0.1</v>
      </c>
      <c r="U245" s="2645">
        <v>929225</v>
      </c>
      <c r="V245" s="2646">
        <v>2.9849999999999998E-3</v>
      </c>
      <c r="W245" s="2647">
        <v>902332</v>
      </c>
      <c r="X245" s="2648">
        <v>0.49102145549999998</v>
      </c>
      <c r="Y245" s="2647">
        <v>0</v>
      </c>
      <c r="Z245" s="2648">
        <v>0</v>
      </c>
      <c r="AA245" s="2647">
        <v>917993</v>
      </c>
      <c r="AB245" s="2648">
        <v>6</v>
      </c>
      <c r="AC245" s="2647">
        <v>938126</v>
      </c>
      <c r="AD245" s="2648">
        <v>6</v>
      </c>
      <c r="AE245" s="2647">
        <v>929272</v>
      </c>
      <c r="AF245" s="2648">
        <v>6</v>
      </c>
      <c r="AG245" s="2649"/>
      <c r="AH245" s="2650"/>
      <c r="AI245" s="2647">
        <v>0</v>
      </c>
      <c r="AJ245" s="2648">
        <v>0</v>
      </c>
      <c r="AK245" s="2651">
        <v>0</v>
      </c>
      <c r="AL245" s="2652">
        <v>0</v>
      </c>
      <c r="AM245" s="2647">
        <v>922605</v>
      </c>
      <c r="AN245" s="2653">
        <v>0.02</v>
      </c>
      <c r="AO245" s="2647">
        <v>902311</v>
      </c>
      <c r="AP245" s="2654">
        <v>1.4285000000000001E-3</v>
      </c>
      <c r="AQ245" s="2647">
        <v>902302</v>
      </c>
      <c r="AR245" s="2654">
        <v>2.8571428571428571E-2</v>
      </c>
      <c r="AS245" s="2647">
        <f t="shared" ref="AS245" si="36">IF(K245="P",903360,0)</f>
        <v>903360</v>
      </c>
      <c r="AT245" s="2654">
        <f t="shared" ref="AT245" si="37">1/R245</f>
        <v>7.1428571428571426E-3</v>
      </c>
      <c r="AU245" s="2647">
        <v>0</v>
      </c>
      <c r="AV245" s="2654">
        <v>0</v>
      </c>
      <c r="AW245" s="2647">
        <v>0</v>
      </c>
      <c r="AX245" s="2654">
        <v>0</v>
      </c>
      <c r="AZ245" s="2645"/>
      <c r="BA245" s="2655"/>
      <c r="BD245" s="42"/>
      <c r="BI245" s="22"/>
      <c r="BJ245" s="58"/>
      <c r="BL245" s="22" t="s">
        <v>91</v>
      </c>
      <c r="BN245" s="44"/>
      <c r="BP245" s="45"/>
      <c r="BQ245" s="46"/>
    </row>
    <row r="246" spans="1:80" ht="15" customHeight="1" x14ac:dyDescent="0.25">
      <c r="A246" s="22">
        <v>3535</v>
      </c>
      <c r="B246" s="23" t="s">
        <v>505</v>
      </c>
      <c r="C246" s="22" t="s">
        <v>76</v>
      </c>
      <c r="D246" s="23" t="s">
        <v>273</v>
      </c>
      <c r="E246" s="23" t="s">
        <v>431</v>
      </c>
      <c r="F246" s="22" t="s">
        <v>109</v>
      </c>
      <c r="G246" s="22" t="s">
        <v>109</v>
      </c>
      <c r="H246" s="23" t="s">
        <v>110</v>
      </c>
      <c r="I246" s="24"/>
      <c r="J246" s="2656">
        <v>4.1666670000000003E-2</v>
      </c>
      <c r="K246" s="26" t="s">
        <v>81</v>
      </c>
      <c r="L246" s="27">
        <v>2</v>
      </c>
      <c r="M246" s="28">
        <v>9</v>
      </c>
      <c r="N246" s="27">
        <f t="shared" si="27"/>
        <v>18</v>
      </c>
      <c r="O246" s="27">
        <f t="shared" si="28"/>
        <v>3.170178000290341</v>
      </c>
      <c r="P246" s="28">
        <v>4</v>
      </c>
      <c r="Q246" s="28">
        <v>10</v>
      </c>
      <c r="R246" s="29">
        <f t="shared" si="32"/>
        <v>40</v>
      </c>
      <c r="S246" s="30">
        <v>0.23499999999999999</v>
      </c>
      <c r="T246" s="30">
        <v>0</v>
      </c>
      <c r="U246" s="2657">
        <v>928732</v>
      </c>
      <c r="V246" s="2658">
        <v>8.9999999999999993E-3</v>
      </c>
      <c r="W246" s="2659">
        <v>0</v>
      </c>
      <c r="X246" s="2660">
        <v>0</v>
      </c>
      <c r="Y246" s="2659">
        <v>902338</v>
      </c>
      <c r="Z246" s="2660">
        <v>0.11761199999999999</v>
      </c>
      <c r="AA246" s="2659">
        <v>939557</v>
      </c>
      <c r="AB246" s="2660">
        <v>9</v>
      </c>
      <c r="AC246" s="2661">
        <v>942251</v>
      </c>
      <c r="AD246" s="2660">
        <v>9</v>
      </c>
      <c r="AE246" s="2659">
        <v>0</v>
      </c>
      <c r="AF246" s="2660"/>
      <c r="AG246" s="2662"/>
      <c r="AH246" s="2663"/>
      <c r="AI246" s="2659">
        <v>939353</v>
      </c>
      <c r="AJ246" s="2660">
        <v>9</v>
      </c>
      <c r="AK246" s="2664">
        <v>939352</v>
      </c>
      <c r="AL246" s="2665">
        <v>1</v>
      </c>
      <c r="AM246" s="2659">
        <v>0</v>
      </c>
      <c r="AN246" s="2666">
        <v>0</v>
      </c>
      <c r="AO246" s="2659"/>
      <c r="AP246" s="2666"/>
      <c r="AQ246" s="2659"/>
      <c r="AR246" s="2666"/>
      <c r="AS246" s="2659">
        <f>IF(K246="P",903360,0)</f>
        <v>903360</v>
      </c>
      <c r="AT246" s="2666">
        <f>1/R246</f>
        <v>2.5000000000000001E-2</v>
      </c>
      <c r="AU246" s="2659"/>
      <c r="AV246" s="2666"/>
      <c r="AW246" s="2659"/>
      <c r="AX246" s="2666"/>
      <c r="AZ246" s="2657"/>
      <c r="BA246" s="2667"/>
      <c r="BD246" s="42"/>
      <c r="BI246" s="22"/>
      <c r="BJ246" s="58"/>
      <c r="BL246" s="22"/>
      <c r="BN246" s="44"/>
      <c r="BP246" s="45"/>
      <c r="BQ246" s="46"/>
    </row>
    <row r="250" spans="1:80" x14ac:dyDescent="0.25">
      <c r="V250" s="2668"/>
    </row>
    <row r="251" spans="1:80" x14ac:dyDescent="0.25">
      <c r="V251" s="2668"/>
    </row>
    <row r="252" spans="1:80" x14ac:dyDescent="0.25">
      <c r="V252" s="2668"/>
    </row>
  </sheetData>
  <autoFilter ref="A7:AX246" xr:uid="{BF25FAC6-BED8-434B-A364-88A53151D1C0}"/>
  <mergeCells count="16">
    <mergeCell ref="AS6:AT6"/>
    <mergeCell ref="AU6:AV6"/>
    <mergeCell ref="AW6:AX6"/>
    <mergeCell ref="AZ6:BA6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</mergeCells>
  <conditionalFormatting sqref="J8:J246">
    <cfRule type="cellIs" dxfId="18" priority="5" operator="equal">
      <formula>0</formula>
    </cfRule>
    <cfRule type="cellIs" dxfId="17" priority="6" operator="equal">
      <formula>1</formula>
    </cfRule>
    <cfRule type="cellIs" dxfId="16" priority="7" operator="between">
      <formula>0.08</formula>
      <formula>0.09</formula>
    </cfRule>
  </conditionalFormatting>
  <conditionalFormatting sqref="J242">
    <cfRule type="cellIs" dxfId="15" priority="2" operator="between">
      <formula>0.04</formula>
      <formula>0.08</formula>
    </cfRule>
  </conditionalFormatting>
  <conditionalFormatting sqref="J8:K239">
    <cfRule type="cellIs" dxfId="14" priority="14" operator="between">
      <formula>0.04</formula>
      <formula>0.08</formula>
    </cfRule>
  </conditionalFormatting>
  <conditionalFormatting sqref="J240:K246">
    <cfRule type="cellIs" dxfId="13" priority="1" operator="between">
      <formula>0.04</formula>
      <formula>0.08</formula>
    </cfRule>
  </conditionalFormatting>
  <conditionalFormatting sqref="K8:K246">
    <cfRule type="cellIs" dxfId="12" priority="15" operator="between">
      <formula>0.08</formula>
      <formula>0.09</formula>
    </cfRule>
    <cfRule type="cellIs" dxfId="11" priority="16" stopIfTrue="1" operator="equal">
      <formula>"R"</formula>
    </cfRule>
    <cfRule type="cellIs" dxfId="10" priority="17" operator="equal">
      <formula>0</formula>
    </cfRule>
    <cfRule type="cellIs" dxfId="9" priority="18" operator="equal">
      <formula>1</formula>
    </cfRule>
    <cfRule type="cellIs" dxfId="8" priority="19" stopIfTrue="1" operator="equal">
      <formula>"P"</formula>
    </cfRule>
  </conditionalFormatting>
  <conditionalFormatting sqref="U8:U246 W8:W246 Y8:Y246 AA8:AA246 AC8:AC246 AE8:AE246 AI8:AI246 AO8:AO246 AQ8:AQ246 AS8:AS246 AU8:AU246 AW8:AW246">
    <cfRule type="cellIs" dxfId="7" priority="10" operator="equal">
      <formula>0</formula>
    </cfRule>
    <cfRule type="cellIs" dxfId="6" priority="11" operator="lessThan">
      <formula>0</formula>
    </cfRule>
  </conditionalFormatting>
  <conditionalFormatting sqref="AG8:AG246 AK8:AK246">
    <cfRule type="cellIs" dxfId="5" priority="12" operator="equal">
      <formula>0</formula>
    </cfRule>
    <cfRule type="cellIs" dxfId="4" priority="13" operator="lessThan">
      <formula>0</formula>
    </cfRule>
  </conditionalFormatting>
  <conditionalFormatting sqref="AM8:AM246">
    <cfRule type="cellIs" dxfId="3" priority="8" operator="equal">
      <formula>0</formula>
    </cfRule>
    <cfRule type="cellIs" dxfId="2" priority="9" operator="lessThan">
      <formula>0</formula>
    </cfRule>
  </conditionalFormatting>
  <conditionalFormatting sqref="AZ8:AZ246">
    <cfRule type="cellIs" dxfId="1" priority="3" operator="equal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TEORICOS (05.26)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Perozzi</dc:creator>
  <cp:lastModifiedBy>Damian Perozzi</cp:lastModifiedBy>
  <dcterms:created xsi:type="dcterms:W3CDTF">2026-08-28T15:24:30Z</dcterms:created>
  <dcterms:modified xsi:type="dcterms:W3CDTF">2026-08-28T15:24:43Z</dcterms:modified>
</cp:coreProperties>
</file>